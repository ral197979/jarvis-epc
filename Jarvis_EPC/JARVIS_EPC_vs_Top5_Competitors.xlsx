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eature Matrix" sheetId="2" state="visible" r:id="rId4"/>
    <sheet name="Scorecard" sheetId="3" state="visible" r:id="rId5"/>
    <sheet name="Governance &amp; Safety" sheetId="4" state="visible" r:id="rId6"/>
    <sheet name="Cost &amp; Deployment" sheetId="5" state="visible" r:id="rId7"/>
    <sheet name="Gap Analysis" sheetId="6" state="visible" r:id="rId8"/>
    <sheet name="Post-Remediation Projection" sheetId="7" state="visible" r:id="rId9"/>
    <sheet name="Remediation Artifac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<sst xmlns="http://schemas.openxmlformats.org/spreadsheetml/2006/main" count="704" uniqueCount="353">
  <si>
    <t xml:space="preserve">JARVIS EPC vs. Top 5 Competitors — Comparison Matrix</t>
  </si>
  <si>
    <t xml:space="preserve">Prepared for</t>
  </si>
  <si>
    <t xml:space="preserve">Rommel — Owner, JARVIS EPC</t>
  </si>
  <si>
    <t xml:space="preserve">Date</t>
  </si>
  <si>
    <t xml:space="preserve">2026-04-17</t>
  </si>
  <si>
    <t xml:space="preserve">Subject product</t>
  </si>
  <si>
    <t xml:space="preserve">JARVIS EPC v4.27.0 — multi-tenant AI-powered platform for the Engineering, Procurement &amp; Construction industry</t>
  </si>
  <si>
    <t xml:space="preserve">Comparison angles</t>
  </si>
  <si>
    <t xml:space="preserve">Capabilities &amp; Features · Governance &amp; Safety · Developer/Extensibility · Cost &amp; Deployment</t>
  </si>
  <si>
    <t xml:space="preserve">Scoring</t>
  </si>
  <si>
    <t xml:space="preserve">1 = none/weak  |  2 = limited  |  3 = adequate  |  4 = strong  |  5 = best-in-class</t>
  </si>
  <si>
    <t xml:space="preserve">Note</t>
  </si>
  <si>
    <t xml:space="preserve">Ratings reflect publicly available product positioning as of 2026-04-17. Verify with live demos, RFI/RFP, and procurement references before purchasing decisions.</t>
  </si>
  <si>
    <t xml:space="preserve">Products in this comparison</t>
  </si>
  <si>
    <t xml:space="preserve">JARVIS EPC</t>
  </si>
  <si>
    <t xml:space="preserve">Owner-governed, AI-native enterprise platform for EPC firms. React/TS/Vite frontend, Express/PostgreSQL (RLS) backend, Redis, MCP tool integration, audit-driven release process. Domains: CRM, projects, procurement, construction, commissioning, finance, safety, docs, quality, risk, planning.</t>
  </si>
  <si>
    <t xml:space="preserve">Procore</t>
  </si>
  <si>
    <t xml:space="preserve">Dominant cloud construction management SaaS. Project mgmt, financials, quality &amp; safety, resource mgmt, analytics. Strong marketplace and mobile-field focus; broad GC/sub adoption; lighter on upstream engineering and procurement depth.</t>
  </si>
  <si>
    <t xml:space="preserve">Oracle Primavera Cloud + Aconex</t>
  </si>
  <si>
    <t xml:space="preserve">Industry reference for capital-project scheduling (P6/Primavera Cloud) and engineering document control + workflow (Aconex). Deep governance, portfolio controls, neutral project-wide collaboration; complex to deploy and configure.</t>
  </si>
  <si>
    <t xml:space="preserve">Autodesk Construction Cloud</t>
  </si>
  <si>
    <t xml:space="preserve">BIM-integrated design-to-build platform (Build, BIM 360, PlanGrid, Takeoff, Docs). Strong around model coordination, field execution, issue mgmt; extends from Revit/AEC design ecosystem.</t>
  </si>
  <si>
    <t xml:space="preserve">AVEVA Unified Project Execution</t>
  </si>
  <si>
    <t xml:space="preserve">EPC-focused engineering &amp; execution suite (ex-Intergraph / SmartPlant heritage). Plant engineering, 3D/P&amp;ID, materials, advanced work packaging, handover to operations. Favored by owner-operators and large EPCs.</t>
  </si>
  <si>
    <t xml:space="preserve">InEight</t>
  </si>
  <si>
    <t xml:space="preserve">Modern capital projects platform backed by Kiewit. Integrated scheduling, cost, contracts, document, quality and field execution; strong AI-assisted planning and risk-adjusted schedule capabilities.</t>
  </si>
  <si>
    <t xml:space="preserve">How to read this workbook</t>
  </si>
  <si>
    <t xml:space="preserve">Feature Matrix</t>
  </si>
  <si>
    <t xml:space="preserve">Row-by-row Yes / Partial / No capability coverage across all six products, grouped by EPC lifecycle area.</t>
  </si>
  <si>
    <t xml:space="preserve">Scorecard</t>
  </si>
  <si>
    <t xml:space="preserve">Weighted 1-5 ratings across the four angles you selected, with dimension sub-totals and a final weighted score.</t>
  </si>
  <si>
    <t xml:space="preserve">Gap Analysis</t>
  </si>
  <si>
    <t xml:space="preserve">Where JARVIS EPC leads, reaches parity, or lags — with recommended remediation moves.</t>
  </si>
  <si>
    <t xml:space="preserve">Governance &amp; Safety</t>
  </si>
  <si>
    <t xml:space="preserve">Deep-dive on owner control, auditability, security posture, and skill governance — JARVIS EPC's differentiator.</t>
  </si>
  <si>
    <t xml:space="preserve">Cost &amp; Deployment</t>
  </si>
  <si>
    <t xml:space="preserve">Pricing model, hosting, multi-tenancy, typical TCO profile, and implementation footprint.</t>
  </si>
  <si>
    <t xml:space="preserve">Capability Coverage Matrix</t>
  </si>
  <si>
    <t xml:space="preserve">Category</t>
  </si>
  <si>
    <t xml:space="preserve">Capability</t>
  </si>
  <si>
    <t xml:space="preserve">CRM &amp; Sales</t>
  </si>
  <si>
    <t xml:space="preserve">Lead &amp; opportunity mgmt</t>
  </si>
  <si>
    <t xml:space="preserve">Yes</t>
  </si>
  <si>
    <t xml:space="preserve">Partial</t>
  </si>
  <si>
    <t xml:space="preserve">No</t>
  </si>
  <si>
    <t xml:space="preserve">Bid / tender management</t>
  </si>
  <si>
    <t xml:space="preserve">Client portal</t>
  </si>
  <si>
    <t xml:space="preserve">Project Mgmt</t>
  </si>
  <si>
    <t xml:space="preserve">WBS, milestones, gantt</t>
  </si>
  <si>
    <t xml:space="preserve">Advanced scheduling (P6-class)</t>
  </si>
  <si>
    <t xml:space="preserve">Risk register &amp; QRA</t>
  </si>
  <si>
    <t xml:space="preserve">Procurement</t>
  </si>
  <si>
    <t xml:space="preserve">Requisition to PO</t>
  </si>
  <si>
    <t xml:space="preserve">Vendor mgmt &amp; prequalification</t>
  </si>
  <si>
    <t xml:space="preserve">Materials mgmt / expediting</t>
  </si>
  <si>
    <t xml:space="preserve">Engineering</t>
  </si>
  <si>
    <t xml:space="preserve">Document control (transmittals, MoC)</t>
  </si>
  <si>
    <t xml:space="preserve">BIM / 3D model coordination</t>
  </si>
  <si>
    <t xml:space="preserve">P&amp;ID / plant-engineering tools</t>
  </si>
  <si>
    <t xml:space="preserve">Construction</t>
  </si>
  <si>
    <t xml:space="preserve">Daily reports &amp; field execution</t>
  </si>
  <si>
    <t xml:space="preserve">RFIs, submittals, punch lists</t>
  </si>
  <si>
    <t xml:space="preserve">Advanced work packaging (AWP)</t>
  </si>
  <si>
    <t xml:space="preserve">Commissioning</t>
  </si>
  <si>
    <t xml:space="preserve">Commissioning &amp; handover (turnover)</t>
  </si>
  <si>
    <t xml:space="preserve">HSE / Quality</t>
  </si>
  <si>
    <t xml:space="preserve">Safety observations &amp; incidents</t>
  </si>
  <si>
    <t xml:space="preserve">Quality inspections / NCRs</t>
  </si>
  <si>
    <t xml:space="preserve">Finance</t>
  </si>
  <si>
    <t xml:space="preserve">Budget / forecast / EVM</t>
  </si>
  <si>
    <t xml:space="preserve">Invoicing, change orders, claims</t>
  </si>
  <si>
    <t xml:space="preserve">ERP integration (SAP/Oracle/D365)</t>
  </si>
  <si>
    <t xml:space="preserve">AI / Automation</t>
  </si>
  <si>
    <t xml:space="preserve">Embedded LLM/agent assistance</t>
  </si>
  <si>
    <t xml:space="preserve">MCP tool integration (open agent std.)</t>
  </si>
  <si>
    <t xml:space="preserve">Owner-defined skills / playbooks</t>
  </si>
  <si>
    <t xml:space="preserve">Architecture</t>
  </si>
  <si>
    <t xml:space="preserve">Multi-tenant SaaS (RLS-enforced)</t>
  </si>
  <si>
    <t xml:space="preserve">Self-host / private cloud option</t>
  </si>
  <si>
    <t xml:space="preserve">Open API / webhooks</t>
  </si>
  <si>
    <t xml:space="preserve">Security &amp; Governance</t>
  </si>
  <si>
    <t xml:space="preserve">RBAC + row-level security</t>
  </si>
  <si>
    <t xml:space="preserve">Full owner audit trail</t>
  </si>
  <si>
    <t xml:space="preserve">Kill switch / access revocation</t>
  </si>
  <si>
    <t xml:space="preserve">Observability</t>
  </si>
  <si>
    <t xml:space="preserve">Structured logging / metrics</t>
  </si>
  <si>
    <t xml:space="preserve">Per-tenant usage analytics</t>
  </si>
  <si>
    <t xml:space="preserve">Testing / Quality Bar</t>
  </si>
  <si>
    <t xml:space="preserve">High test coverage as release gate (95%+)</t>
  </si>
  <si>
    <t xml:space="preserve">Unknown</t>
  </si>
  <si>
    <t xml:space="preserve">Accessibility</t>
  </si>
  <si>
    <t xml:space="preserve">WCAG 2.1 AA automated checks</t>
  </si>
  <si>
    <t xml:space="preserve">Mobile</t>
  </si>
  <si>
    <t xml:space="preserve">Native iOS / Android field apps</t>
  </si>
  <si>
    <t xml:space="preserve">Ecosystem</t>
  </si>
  <si>
    <t xml:space="preserve">Third-party marketplace / integrations</t>
  </si>
  <si>
    <t xml:space="preserve">SUMMARY</t>
  </si>
  <si>
    <t xml:space="preserve">Yes count</t>
  </si>
  <si>
    <t xml:space="preserve">Partial count</t>
  </si>
  <si>
    <t xml:space="preserve">No count</t>
  </si>
  <si>
    <t xml:space="preserve">Weighted Scorecard (1–5 scale)</t>
  </si>
  <si>
    <t xml:space="preserve">Dimension</t>
  </si>
  <si>
    <t xml:space="preserve">Weight</t>
  </si>
  <si>
    <t xml:space="preserve">CAPABILITIES &amp; FEATURES</t>
  </si>
  <si>
    <t xml:space="preserve">EPC domain breadth (all 11 domains)</t>
  </si>
  <si>
    <t xml:space="preserve">Engineering depth (3D/P&amp;ID/plant)</t>
  </si>
  <si>
    <t xml:space="preserve">Construction field execution</t>
  </si>
  <si>
    <t xml:space="preserve">Procurement &amp; materials</t>
  </si>
  <si>
    <t xml:space="preserve">AI / agent automation</t>
  </si>
  <si>
    <t xml:space="preserve">Reporting &amp; analytics</t>
  </si>
  <si>
    <t xml:space="preserve">GOVERNANCE &amp; SAFETY</t>
  </si>
  <si>
    <t xml:space="preserve">Owner visibility (audit, dashboards)</t>
  </si>
  <si>
    <t xml:space="preserve">Security posture (RLS, JWT, CSRF, kill switch)</t>
  </si>
  <si>
    <t xml:space="preserve">Skill boundaries / scoped AI</t>
  </si>
  <si>
    <t xml:space="preserve">Compliance &amp; access controls</t>
  </si>
  <si>
    <t xml:space="preserve">DEVELOPER / EXTENSIBILITY</t>
  </si>
  <si>
    <t xml:space="preserve">Open API &amp; webhooks</t>
  </si>
  <si>
    <t xml:space="preserve">MCP / open agent integration</t>
  </si>
  <si>
    <t xml:space="preserve">Custom skills / workflows</t>
  </si>
  <si>
    <t xml:space="preserve">Marketplace &amp; partner ecosystem</t>
  </si>
  <si>
    <t xml:space="preserve">COST &amp; DEPLOYMENT</t>
  </si>
  <si>
    <t xml:space="preserve">Affordability / TCO</t>
  </si>
  <si>
    <t xml:space="preserve">Self-host / data sovereignty option</t>
  </si>
  <si>
    <t xml:space="preserve">Implementation speed (time-to-value)</t>
  </si>
  <si>
    <t xml:space="preserve">Mobile / offline field UX</t>
  </si>
  <si>
    <t xml:space="preserve">Σ Weights</t>
  </si>
  <si>
    <t xml:space="preserve">WEIGHTED SCORE (out of 5)</t>
  </si>
  <si>
    <t xml:space="preserve">Rank (1 = best)</t>
  </si>
  <si>
    <t xml:space="preserve">Scoring notes</t>
  </si>
  <si>
    <t xml:space="preserve">Scores combine publicly documented capabilities, product positioning, and JARVIS EPC internal audit findings (memory.md v4.27.0).</t>
  </si>
  <si>
    <t xml:space="preserve">JARVIS EPC's advantage is concentrated in governance, AI/MCP, breadth across EPC domains, and deployment flexibility.</t>
  </si>
  <si>
    <t xml:space="preserve">Incumbents (Procore, Primavera, Autodesk, AVEVA, InEight) lead on mobile/field polish and third-party ecosystems.</t>
  </si>
  <si>
    <t xml:space="preserve">Rankings are indicative; validate with demos, RFPs, and customer references before any procurement decision.</t>
  </si>
  <si>
    <t xml:space="preserve">Governance &amp; Safety Deep-Dive</t>
  </si>
  <si>
    <t xml:space="preserve">Criterion</t>
  </si>
  <si>
    <t xml:space="preserve">Owner-first philosophy</t>
  </si>
  <si>
    <t xml:space="preserve">Core principle — skills are owner-governed, bounded, auditable</t>
  </si>
  <si>
    <t xml:space="preserve">SaaS vendor-governed</t>
  </si>
  <si>
    <t xml:space="preserve">Vendor-configurable</t>
  </si>
  <si>
    <t xml:space="preserve">AI guardrails / skill boundaries</t>
  </si>
  <si>
    <t xml:space="preserve">Explicit per-skill allowed/forbidden actions</t>
  </si>
  <si>
    <t xml:space="preserve">Implicit; vendor-managed</t>
  </si>
  <si>
    <t xml:space="preserve">Limited</t>
  </si>
  <si>
    <t xml:space="preserve">Emerging (AI copilots)</t>
  </si>
  <si>
    <t xml:space="preserve">Human-in-the-loop defaults</t>
  </si>
  <si>
    <t xml:space="preserve">Skills are advisory/read-only unless explicit override</t>
  </si>
  <si>
    <t xml:space="preserve">Per-feature policy</t>
  </si>
  <si>
    <t xml:space="preserve">Audit trail depth</t>
  </si>
  <si>
    <t xml:space="preserve">Structured logs + ops dashboards + changelogs per release</t>
  </si>
  <si>
    <t xml:space="preserve">Activity logs</t>
  </si>
  <si>
    <t xml:space="preserve">Full audit trail</t>
  </si>
  <si>
    <t xml:space="preserve">Tenant isolation</t>
  </si>
  <si>
    <t xml:space="preserve">PostgreSQL Row Level Security enforced server-side</t>
  </si>
  <si>
    <t xml:space="preserve">SaaS multi-tenant</t>
  </si>
  <si>
    <t xml:space="preserve">SaaS or private cloud</t>
  </si>
  <si>
    <t xml:space="preserve">Auth &amp; access</t>
  </si>
  <si>
    <t xml:space="preserve">bcrypt + httpOnly JWT + Redis kill switch + CSRF + rate limiting</t>
  </si>
  <si>
    <t xml:space="preserve">SSO, SAML, MFA</t>
  </si>
  <si>
    <t xml:space="preserve">Data residency / self-host</t>
  </si>
  <si>
    <t xml:space="preserve">Supported (Docker/compose, nginx, S3-compatible storage)</t>
  </si>
  <si>
    <t xml:space="preserve">SaaS only</t>
  </si>
  <si>
    <t xml:space="preserve">Cloud + limited private</t>
  </si>
  <si>
    <t xml:space="preserve">Private cloud available</t>
  </si>
  <si>
    <t xml:space="preserve">Test coverage as release gate</t>
  </si>
  <si>
    <t xml:space="preserve">95%+ statement/line, 20+ coverage phases, jest-axe WCAG</t>
  </si>
  <si>
    <t xml:space="preserve">Not disclosed</t>
  </si>
  <si>
    <t xml:space="preserve">Meta-skill governance (skill-of-skills)</t>
  </si>
  <si>
    <t xml:space="preserve">Explicit — meta-skill creates bounded skills; owner approval required</t>
  </si>
  <si>
    <t xml:space="preserve">Not applicable</t>
  </si>
  <si>
    <t xml:space="preserve">Regulatory alignment (SOX/ISO/etc.)</t>
  </si>
  <si>
    <t xml:space="preserve">Architecture supports; certifications pending</t>
  </si>
  <si>
    <t xml:space="preserve">SOC 2 Type II</t>
  </si>
  <si>
    <t xml:space="preserve">SOC 2, ISO 27001, FedRAMP (varies)</t>
  </si>
  <si>
    <t xml:space="preserve">SOC 2, ISO 27001</t>
  </si>
  <si>
    <t xml:space="preserve">Cost &amp; Deployment Profile</t>
  </si>
  <si>
    <t xml:space="preserve">Pricing model</t>
  </si>
  <si>
    <t xml:space="preserve">Owner-controlled; no per-seat fees inside owner's tenancy</t>
  </si>
  <si>
    <t xml:space="preserve">Annual subscription; ACV-based</t>
  </si>
  <si>
    <t xml:space="preserve">Per-user + named-user modules; enterprise contracts</t>
  </si>
  <si>
    <t xml:space="preserve">Per-user subscription; tiered (Docs / Build / BIM 360)</t>
  </si>
  <si>
    <t xml:space="preserve">Enterprise license + support</t>
  </si>
  <si>
    <t xml:space="preserve">Enterprise subscription; module-based</t>
  </si>
  <si>
    <t xml:space="preserve">Typical indicative cost</t>
  </si>
  <si>
    <t xml:space="preserve">Infra + dev cost only (owner-built)</t>
  </si>
  <si>
    <t xml:space="preserve">$$$ (mid–large)</t>
  </si>
  <si>
    <t xml:space="preserve">$$$$ (large–enterprise)</t>
  </si>
  <si>
    <t xml:space="preserve">$$$$ (enterprise)</t>
  </si>
  <si>
    <t xml:space="preserve">$$$ (mid–enterprise)</t>
  </si>
  <si>
    <t xml:space="preserve">Hosting model</t>
  </si>
  <si>
    <t xml:space="preserve">Self-host (Docker/compose) or cloud; S3 abstraction</t>
  </si>
  <si>
    <t xml:space="preserve">SaaS only (AWS)</t>
  </si>
  <si>
    <t xml:space="preserve">Cloud (OCI) + limited on-prem legacy</t>
  </si>
  <si>
    <t xml:space="preserve">SaaS + private cloud</t>
  </si>
  <si>
    <t xml:space="preserve">SaaS + limited private</t>
  </si>
  <si>
    <t xml:space="preserve">Multi-tenancy</t>
  </si>
  <si>
    <t xml:space="preserve">Row-Level Security enforced</t>
  </si>
  <si>
    <t xml:space="preserve">Single-tenant private cloud common</t>
  </si>
  <si>
    <t xml:space="preserve">Implementation effort</t>
  </si>
  <si>
    <t xml:space="preserve">Dev-team effort; audit-driven release cycles</t>
  </si>
  <si>
    <t xml:space="preserve">4–12 wks typical</t>
  </si>
  <si>
    <t xml:space="preserve">6–18 months enterprise rollout</t>
  </si>
  <si>
    <t xml:space="preserve">4–12 wks per product</t>
  </si>
  <si>
    <t xml:space="preserve">9–24 months enterprise rollout</t>
  </si>
  <si>
    <t xml:space="preserve">3–9 months</t>
  </si>
  <si>
    <t xml:space="preserve">Data ownership</t>
  </si>
  <si>
    <t xml:space="preserve">Full — owner DB, logs, backups</t>
  </si>
  <si>
    <t xml:space="preserve">Vendor-hosted; export via API</t>
  </si>
  <si>
    <t xml:space="preserve">Vendor-hosted; rich export</t>
  </si>
  <si>
    <t xml:space="preserve">Owner-friendly (on-prem option)</t>
  </si>
  <si>
    <t xml:space="preserve">Integration footprint</t>
  </si>
  <si>
    <t xml:space="preserve">Open REST + webhooks + MCP tools</t>
  </si>
  <si>
    <t xml:space="preserve">Marketplace + REST API</t>
  </si>
  <si>
    <t xml:space="preserve">REST APIs + Primavera Integration API</t>
  </si>
  <si>
    <t xml:space="preserve">Autodesk Platform Services</t>
  </si>
  <si>
    <t xml:space="preserve">APIs + enterprise integration suite</t>
  </si>
  <si>
    <t xml:space="preserve">REST + connectors</t>
  </si>
  <si>
    <t xml:space="preserve">Upgrade path / versioning</t>
  </si>
  <si>
    <t xml:space="preserve">Semantic versioning + changelog per release</t>
  </si>
  <si>
    <t xml:space="preserve">Auto-updated SaaS</t>
  </si>
  <si>
    <t xml:space="preserve">Scheduled enterprise releases</t>
  </si>
  <si>
    <t xml:space="preserve">Where JARVIS EPC Leads, Reaches Parity, or Lags</t>
  </si>
  <si>
    <t xml:space="preserve">Status</t>
  </si>
  <si>
    <t xml:space="preserve">Area</t>
  </si>
  <si>
    <t xml:space="preserve">Observation vs. Top 5</t>
  </si>
  <si>
    <t xml:space="preserve">Recommended next move</t>
  </si>
  <si>
    <t xml:space="preserve">LEAD</t>
  </si>
  <si>
    <t xml:space="preserve">Owner-governance model</t>
  </si>
  <si>
    <t xml:space="preserve">Explicit skill boundaries, meta-skill, audit-first release cadence — unique vs. all five competitors.</t>
  </si>
  <si>
    <t xml:space="preserve">Package governance as a marketable differentiator (whitepaper, compliance datasheet, SOC 2 readiness plan).</t>
  </si>
  <si>
    <t xml:space="preserve">AI / MCP-native integration</t>
  </si>
  <si>
    <t xml:space="preserve">Shared MCP tool constants + full MCP Tools page; competitors offer only embedded copilots without an open agent protocol.</t>
  </si>
  <si>
    <t xml:space="preserve">Publish an MCP catalog for EPC (cost, schedule, RFI bots) and highlight open-agent extensibility to buyers.</t>
  </si>
  <si>
    <t xml:space="preserve">Domain breadth at platform level</t>
  </si>
  <si>
    <t xml:space="preserve">Covers CRM→Commissioning→Quality→Risk in one codebase; Procore/Autodesk narrower; AVEVA broad but heavier.</t>
  </si>
  <si>
    <t xml:space="preserve">Instrument cross-domain workflows (e.g., RFI→CO→Invoice) as canned demos to prove the breadth story.</t>
  </si>
  <si>
    <t xml:space="preserve">Deployment flexibility</t>
  </si>
  <si>
    <t xml:space="preserve">Self-host via Docker + S3 abstraction; tenant-isolated with RLS; competitors mostly SaaS-only.</t>
  </si>
  <si>
    <t xml:space="preserve">Offer a 'sovereign-deploy' SKU for regulated owners (utilities, defense, nuclear, etc.).</t>
  </si>
  <si>
    <t xml:space="preserve">PARITY</t>
  </si>
  <si>
    <t xml:space="preserve">Project/schedule core</t>
  </si>
  <si>
    <t xml:space="preserve">WBS, gantt, risk register present; P6-class advanced scheduling still partial vs. Primavera/InEight.</t>
  </si>
  <si>
    <t xml:space="preserve">Harden critical-path analytics, float/resource levelling, and baselining; consider P6 import/export.</t>
  </si>
  <si>
    <t xml:space="preserve">Construction field workflows</t>
  </si>
  <si>
    <t xml:space="preserve">RFIs, submittals, daily reports, punch lists supported; parity with Procore/Autodesk features.</t>
  </si>
  <si>
    <t xml:space="preserve">Invest in UX polish and offline-first mobile; current P3 extraction sprint is the right moment.</t>
  </si>
  <si>
    <t xml:space="preserve">Security primitives</t>
  </si>
  <si>
    <t xml:space="preserve">bcrypt + JWT + RLS + CSRF + rate-limiting reach enterprise baseline.</t>
  </si>
  <si>
    <t xml:space="preserve">Pursue SOC 2 Type II and ISO 27001 attestations to remove procurement friction.</t>
  </si>
  <si>
    <t xml:space="preserve">LAG</t>
  </si>
  <si>
    <t xml:space="preserve">Native mobile field apps</t>
  </si>
  <si>
    <t xml:space="preserve">Web-first; competitors lead on native iOS/Android daily reporting and offline sync.</t>
  </si>
  <si>
    <t xml:space="preserve">Scope a React Native wrapper or PWA with offline write-through; prioritize daily reports + punch lists.</t>
  </si>
  <si>
    <t xml:space="preserve">Model-viewer depth is behind Autodesk / AVEVA (native BIM ecosystems).</t>
  </si>
  <si>
    <t xml:space="preserve">Integrate Autodesk Platform Services + Forge viewer; defer native model engine until later.</t>
  </si>
  <si>
    <t xml:space="preserve">Plant engineering (P&amp;ID, 3D piping)</t>
  </si>
  <si>
    <t xml:space="preserve">Not in scope; AVEVA/Hexagon dominate.</t>
  </si>
  <si>
    <t xml:space="preserve">Stay out of native plant engineering; integrate via data connectors + handover packages.</t>
  </si>
  <si>
    <t xml:space="preserve">Partner / marketplace ecosystem</t>
  </si>
  <si>
    <t xml:space="preserve">Early-stage; Procore/Autodesk have hundreds of app partners.</t>
  </si>
  <si>
    <t xml:space="preserve">Stand up a lightweight marketplace around MCP skills; invite selected partners as launch design-partners.</t>
  </si>
  <si>
    <t xml:space="preserve">JarvisCore monolith risk</t>
  </si>
  <si>
    <t xml:space="preserve">~6.5k line JSX file remains; internal technical debt item documented in EXTRACTION_ROADMAP.md.</t>
  </si>
  <si>
    <t xml:space="preserve">Execute P3 extraction sprint (ProposalsPage, TicketsPage, NotificationsPage) before next major release.</t>
  </si>
  <si>
    <t xml:space="preserve">Projected Scorecard After 90-Day Remediation (v4.31.0 → v4.33.0)</t>
  </si>
  <si>
    <t xml:space="preserve">Source: REMEDIATION_ROADMAP.md. Assumes all 10 owner checkpoints are approved and sprints execute per plan.</t>
  </si>
  <si>
    <t xml:space="preserve">JARVIS v4.33.0 Target</t>
  </si>
  <si>
    <t xml:space="preserve">Δ vs current</t>
  </si>
  <si>
    <t xml:space="preserve">Driver</t>
  </si>
  <si>
    <t xml:space="preserve">90-Day Gain Summary</t>
  </si>
  <si>
    <t xml:space="preserve">Current weighted score (JARVIS)</t>
  </si>
  <si>
    <t xml:space="preserve">P4: promote Coming-Soon stubs across domains</t>
  </si>
  <si>
    <t xml:space="preserve">Projected weighted score (JARVIS v4.33.0)</t>
  </si>
  <si>
    <t xml:space="preserve">G2 BIM via APS + G3 plant file import</t>
  </si>
  <si>
    <t xml:space="preserve">Total gain</t>
  </si>
  <si>
    <t xml:space="preserve">G1 mobile + P2 UX polish</t>
  </si>
  <si>
    <t xml:space="preserve">Closest competitor (current)</t>
  </si>
  <si>
    <t xml:space="preserve">No change planned in 90 days</t>
  </si>
  <si>
    <t xml:space="preserve">Projected lead over closest competitor</t>
  </si>
  <si>
    <t xml:space="preserve">Maintain MCP lead</t>
  </si>
  <si>
    <t xml:space="preserve">No change planned</t>
  </si>
  <si>
    <t xml:space="preserve">Maintained via ROADMAP + CHANGELOG cadence</t>
  </si>
  <si>
    <t xml:space="preserve">Maintained</t>
  </si>
  <si>
    <t xml:space="preserve">P3: SOC 2 Type II readiness pack</t>
  </si>
  <si>
    <t xml:space="preserve">G4: Marketplace v0 + 3 launch partners</t>
  </si>
  <si>
    <t xml:space="preserve">G1: PWA + Capacitor offline-first</t>
  </si>
  <si>
    <t xml:space="preserve">Total gain across all dimensions</t>
  </si>
  <si>
    <t xml:space="preserve">Current Rank (1 = best)</t>
  </si>
  <si>
    <t xml:space="preserve">Projected Rank (JARVIS uses v4.33.0 target)</t>
  </si>
  <si>
    <t xml:space="preserve">Remediation Artifacts — AUTO-column deliverables landed in the repo</t>
  </si>
  <si>
    <t xml:space="preserve">All artifacts are markdown documents in docs/remediation/ of the repo. Each carries an owner-approval block. No code changes have been made.</t>
  </si>
  <si>
    <t xml:space="preserve">Gap</t>
  </si>
  <si>
    <t xml:space="preserve">Class</t>
  </si>
  <si>
    <t xml:space="preserve">Artifact</t>
  </si>
  <si>
    <t xml:space="preserve">Release Slot</t>
  </si>
  <si>
    <t xml:space="preserve">Pages</t>
  </si>
  <si>
    <t xml:space="preserve">Effort (eng days)</t>
  </si>
  <si>
    <t xml:space="preserve">Owner Decision Needed</t>
  </si>
  <si>
    <t xml:space="preserve">Summary</t>
  </si>
  <si>
    <t xml:space="preserve">G5</t>
  </si>
  <si>
    <t xml:space="preserve">LAG (internal)</t>
  </si>
  <si>
    <t xml:space="preserve">G5_MONOLITH_SPRINTS_5_9.md — 5-sprint extraction guide</t>
  </si>
  <si>
    <t xml:space="preserve">v4.31.0</t>
  </si>
  <si>
    <t xml:space="preserve">Landed</t>
  </si>
  <si>
    <t xml:space="preserve">Approve Sprint 5 kickoff</t>
  </si>
  <si>
    <t xml:space="preserve">Total artifacts</t>
  </si>
  <si>
    <t xml:space="preserve">11 markdown docs + 1 index</t>
  </si>
  <si>
    <t xml:space="preserve">G1</t>
  </si>
  <si>
    <t xml:space="preserve">G1_MOBILE_SPEC.md — PWA + Capacitor architecture</t>
  </si>
  <si>
    <t xml:space="preserve">v4.31.0-v4.32.0</t>
  </si>
  <si>
    <t xml:space="preserve">Confirm PWA + Capacitor delivery</t>
  </si>
  <si>
    <t xml:space="preserve">Total pages (approx)</t>
  </si>
  <si>
    <t xml:space="preserve">G2</t>
  </si>
  <si>
    <t xml:space="preserve">G2_BIM_APS_SPEC.md — Autodesk APS integration</t>
  </si>
  <si>
    <t xml:space="preserve">v4.32.0</t>
  </si>
  <si>
    <t xml:space="preserve">APS as BIM engine + budget</t>
  </si>
  <si>
    <t xml:space="preserve">Total engineering days</t>
  </si>
  <si>
    <t xml:space="preserve">G3</t>
  </si>
  <si>
    <t xml:space="preserve">LAG (integrate)</t>
  </si>
  <si>
    <t xml:space="preserve">G3_PLANT_IMPORT_SPEC.md — file import from AVEVA/Hexagon/Bentley</t>
  </si>
  <si>
    <t xml:space="preserve">Confirm non-build posture</t>
  </si>
  <si>
    <t xml:space="preserve">Current weighted score</t>
  </si>
  <si>
    <t xml:space="preserve">G4</t>
  </si>
  <si>
    <t xml:space="preserve">G4_MARKETPLACE_SPEC.md — partner marketplace v0</t>
  </si>
  <si>
    <t xml:space="preserve">v4.33.0</t>
  </si>
  <si>
    <t xml:space="preserve">Marketplace architecture + partners</t>
  </si>
  <si>
    <t xml:space="preserve">Projected score after 90 days</t>
  </si>
  <si>
    <t xml:space="preserve">P1</t>
  </si>
  <si>
    <t xml:space="preserve">PARITY→LEAD</t>
  </si>
  <si>
    <t xml:space="preserve">P1_SCHEDULING_ADR.md — CPM engine + P6 interop</t>
  </si>
  <si>
    <t xml:space="preserve">Build-in-house; XML-first</t>
  </si>
  <si>
    <t xml:space="preserve">Projected gain</t>
  </si>
  <si>
    <t xml:space="preserve">P2</t>
  </si>
  <si>
    <t xml:space="preserve">P2_FIELD_UX_AUDIT.md — 9 UX findings + fixes</t>
  </si>
  <si>
    <t xml:space="preserve">Approve UX findings</t>
  </si>
  <si>
    <t xml:space="preserve">Owner decisions required</t>
  </si>
  <si>
    <t xml:space="preserve">10 (one per gap/area)</t>
  </si>
  <si>
    <t xml:space="preserve">P3</t>
  </si>
  <si>
    <t xml:space="preserve">P3_SOC2_READINESS_PACK.md — policies, controls, gaps</t>
  </si>
  <si>
    <t xml:space="preserve">Auditor + tool budget</t>
  </si>
  <si>
    <t xml:space="preserve">Code changes made</t>
  </si>
  <si>
    <t xml:space="preserve">0 — docs-only until owner approves</t>
  </si>
  <si>
    <t xml:space="preserve">P4</t>
  </si>
  <si>
    <t xml:space="preserve">PARITY (int.)</t>
  </si>
  <si>
    <t xml:space="preserve">P4_COMING_SOON_TRIAGE.md — 54 stubs triaged</t>
  </si>
  <si>
    <t xml:space="preserve">rolling</t>
  </si>
  <si>
    <t xml:space="preserve">Approve DELETE/PROMOTE lists</t>
  </si>
  <si>
    <t xml:space="preserve">P5</t>
  </si>
  <si>
    <t xml:space="preserve">P5_COVERAGE_PLAN.md — 79% → 90% line coverage plan</t>
  </si>
  <si>
    <t xml:space="preserve">Approve new thresholds</t>
  </si>
  <si>
    <t xml:space="preserve">—</t>
  </si>
  <si>
    <t xml:space="preserve">Index</t>
  </si>
  <si>
    <t xml:space="preserve">README.md — master index of all artifacts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</si>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</sst>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\+0.00;\-0.00;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</row>
    <row r="6" customFormat="false" ht="1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23.2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10" customFormat="false" ht="1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48" hidden="false" customHeight="true" outlineLevel="0" collapsed="false">
      <c r="A11" s="6" t="s">
        <v>14</v>
      </c>
      <c r="B11" s="7" t="s">
        <v>15</v>
      </c>
      <c r="C11" s="7"/>
      <c r="D11" s="7"/>
      <c r="E11" s="7"/>
      <c r="F11" s="7"/>
    </row>
    <row r="12" customFormat="false" ht="48" hidden="false" customHeight="true" outlineLevel="0" collapsed="false">
      <c r="A12" s="3" t="s">
        <v>16</v>
      </c>
      <c r="B12" s="7" t="s">
        <v>17</v>
      </c>
      <c r="C12" s="7"/>
      <c r="D12" s="7"/>
      <c r="E12" s="7"/>
      <c r="F12" s="7"/>
    </row>
    <row r="13" customFormat="false" ht="48" hidden="false" customHeight="true" outlineLevel="0" collapsed="false">
      <c r="A13" s="3" t="s">
        <v>18</v>
      </c>
      <c r="B13" s="7" t="s">
        <v>19</v>
      </c>
      <c r="C13" s="7"/>
      <c r="D13" s="7"/>
      <c r="E13" s="7"/>
      <c r="F13" s="7"/>
    </row>
    <row r="14" customFormat="false" ht="48" hidden="false" customHeight="true" outlineLevel="0" collapsed="false">
      <c r="A14" s="3" t="s">
        <v>20</v>
      </c>
      <c r="B14" s="7" t="s">
        <v>21</v>
      </c>
      <c r="C14" s="7"/>
      <c r="D14" s="7"/>
      <c r="E14" s="7"/>
      <c r="F14" s="7"/>
    </row>
    <row r="15" customFormat="false" ht="48" hidden="false" customHeight="true" outlineLevel="0" collapsed="false">
      <c r="A15" s="3" t="s">
        <v>22</v>
      </c>
      <c r="B15" s="7" t="s">
        <v>23</v>
      </c>
      <c r="C15" s="7"/>
      <c r="D15" s="7"/>
      <c r="E15" s="7"/>
      <c r="F15" s="7"/>
    </row>
    <row r="16" customFormat="false" ht="48" hidden="false" customHeight="true" outlineLevel="0" collapsed="false">
      <c r="A16" s="3" t="s">
        <v>24</v>
      </c>
      <c r="B16" s="7" t="s">
        <v>25</v>
      </c>
      <c r="C16" s="7"/>
      <c r="D16" s="7"/>
      <c r="E16" s="7"/>
      <c r="F16" s="7"/>
    </row>
    <row r="18" customFormat="false" ht="15" hidden="false" customHeight="true" outlineLevel="0" collapsed="false">
      <c r="A18" s="5" t="s">
        <v>26</v>
      </c>
      <c r="B18" s="5"/>
      <c r="C18" s="5"/>
      <c r="D18" s="5"/>
      <c r="E18" s="5"/>
      <c r="F18" s="5"/>
    </row>
    <row r="19" customFormat="false" ht="30" hidden="false" customHeight="true" outlineLevel="0" collapsed="false">
      <c r="A19" s="3" t="s">
        <v>27</v>
      </c>
      <c r="B19" s="4" t="s">
        <v>28</v>
      </c>
      <c r="C19" s="4"/>
      <c r="D19" s="4"/>
      <c r="E19" s="4"/>
      <c r="F19" s="4"/>
    </row>
    <row r="20" customFormat="false" ht="30" hidden="false" customHeight="true" outlineLevel="0" collapsed="false">
      <c r="A20" s="3" t="s">
        <v>29</v>
      </c>
      <c r="B20" s="4" t="s">
        <v>30</v>
      </c>
      <c r="C20" s="4"/>
      <c r="D20" s="4"/>
      <c r="E20" s="4"/>
      <c r="F20" s="4"/>
    </row>
    <row r="21" customFormat="false" ht="30" hidden="false" customHeight="true" outlineLevel="0" collapsed="false">
      <c r="A21" s="3" t="s">
        <v>31</v>
      </c>
      <c r="B21" s="4" t="s">
        <v>32</v>
      </c>
      <c r="C21" s="4"/>
      <c r="D21" s="4"/>
      <c r="E21" s="4"/>
      <c r="F21" s="4"/>
    </row>
    <row r="22" customFormat="false" ht="30" hidden="false" customHeight="true" outlineLevel="0" collapsed="false">
      <c r="A22" s="3" t="s">
        <v>33</v>
      </c>
      <c r="B22" s="4" t="s">
        <v>34</v>
      </c>
      <c r="C22" s="4"/>
      <c r="D22" s="4"/>
      <c r="E22" s="4"/>
      <c r="F22" s="4"/>
    </row>
    <row r="23" customFormat="false" ht="30" hidden="false" customHeight="true" outlineLevel="0" collapsed="false">
      <c r="A23" s="3" t="s">
        <v>35</v>
      </c>
      <c r="B23" s="4" t="s">
        <v>36</v>
      </c>
      <c r="C23" s="4"/>
      <c r="D23" s="4"/>
      <c r="E23" s="4"/>
      <c r="F23" s="4"/>
    </row>
  </sheetData>
  <mergeCells count="20">
    <mergeCell ref="A1:F1"/>
    <mergeCell ref="B3:F3"/>
    <mergeCell ref="B4:F4"/>
    <mergeCell ref="B5:F5"/>
    <mergeCell ref="B6:F6"/>
    <mergeCell ref="B7:F7"/>
    <mergeCell ref="B8:F8"/>
    <mergeCell ref="A10:F10"/>
    <mergeCell ref="B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4" min="3" style="1" width="16"/>
    <col collapsed="false" customWidth="true" hidden="false" outlineLevel="0" max="7" min="5" style="1" width="22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8" t="s">
        <v>37</v>
      </c>
      <c r="B1" s="8"/>
      <c r="C1" s="8"/>
      <c r="D1" s="8"/>
      <c r="E1" s="8"/>
      <c r="F1" s="8"/>
      <c r="G1" s="8"/>
      <c r="H1" s="8"/>
    </row>
    <row r="3" customFormat="false" ht="39.75" hidden="false" customHeight="true" outlineLevel="0" collapsed="false">
      <c r="A3" s="9" t="s">
        <v>38</v>
      </c>
      <c r="B3" s="9" t="s">
        <v>39</v>
      </c>
      <c r="C3" s="9" t="s">
        <v>14</v>
      </c>
      <c r="D3" s="9" t="s">
        <v>16</v>
      </c>
      <c r="E3" s="9" t="s">
        <v>18</v>
      </c>
      <c r="F3" s="9" t="s">
        <v>20</v>
      </c>
      <c r="G3" s="9" t="s">
        <v>22</v>
      </c>
      <c r="H3" s="9" t="s">
        <v>24</v>
      </c>
    </row>
    <row r="4" customFormat="false" ht="21.75" hidden="false" customHeight="true" outlineLevel="0" collapsed="false">
      <c r="A4" s="3" t="s">
        <v>40</v>
      </c>
      <c r="B4" s="4" t="s">
        <v>41</v>
      </c>
      <c r="C4" s="10" t="s">
        <v>42</v>
      </c>
      <c r="D4" s="11" t="s">
        <v>43</v>
      </c>
      <c r="E4" s="11" t="s">
        <v>44</v>
      </c>
      <c r="F4" s="11" t="s">
        <v>44</v>
      </c>
      <c r="G4" s="11" t="s">
        <v>43</v>
      </c>
      <c r="H4" s="11" t="s">
        <v>43</v>
      </c>
    </row>
    <row r="5" customFormat="false" ht="21.75" hidden="false" customHeight="true" outlineLevel="0" collapsed="false">
      <c r="A5" s="12"/>
      <c r="B5" s="4" t="s">
        <v>45</v>
      </c>
      <c r="C5" s="10" t="s">
        <v>42</v>
      </c>
      <c r="D5" s="11" t="s">
        <v>42</v>
      </c>
      <c r="E5" s="11" t="s">
        <v>42</v>
      </c>
      <c r="F5" s="11" t="s">
        <v>43</v>
      </c>
      <c r="G5" s="11" t="s">
        <v>42</v>
      </c>
      <c r="H5" s="11" t="s">
        <v>42</v>
      </c>
    </row>
    <row r="6" customFormat="false" ht="21.75" hidden="false" customHeight="true" outlineLevel="0" collapsed="false">
      <c r="A6" s="12"/>
      <c r="B6" s="4" t="s">
        <v>46</v>
      </c>
      <c r="C6" s="10" t="s">
        <v>42</v>
      </c>
      <c r="D6" s="11" t="s">
        <v>42</v>
      </c>
      <c r="E6" s="11" t="s">
        <v>42</v>
      </c>
      <c r="F6" s="11" t="s">
        <v>42</v>
      </c>
      <c r="G6" s="11" t="s">
        <v>42</v>
      </c>
      <c r="H6" s="11" t="s">
        <v>42</v>
      </c>
    </row>
    <row r="7" customFormat="false" ht="21.75" hidden="false" customHeight="true" outlineLevel="0" collapsed="false">
      <c r="A7" s="3" t="s">
        <v>47</v>
      </c>
      <c r="B7" s="4" t="s">
        <v>48</v>
      </c>
      <c r="C7" s="10" t="s">
        <v>42</v>
      </c>
      <c r="D7" s="11" t="s">
        <v>42</v>
      </c>
      <c r="E7" s="11" t="s">
        <v>42</v>
      </c>
      <c r="F7" s="11" t="s">
        <v>43</v>
      </c>
      <c r="G7" s="11" t="s">
        <v>42</v>
      </c>
      <c r="H7" s="11" t="s">
        <v>42</v>
      </c>
    </row>
    <row r="8" customFormat="false" ht="21.75" hidden="false" customHeight="true" outlineLevel="0" collapsed="false">
      <c r="A8" s="12"/>
      <c r="B8" s="4" t="s">
        <v>49</v>
      </c>
      <c r="C8" s="10" t="s">
        <v>43</v>
      </c>
      <c r="D8" s="11" t="s">
        <v>43</v>
      </c>
      <c r="E8" s="11" t="s">
        <v>42</v>
      </c>
      <c r="F8" s="11" t="s">
        <v>44</v>
      </c>
      <c r="G8" s="11" t="s">
        <v>42</v>
      </c>
      <c r="H8" s="11" t="s">
        <v>42</v>
      </c>
    </row>
    <row r="9" customFormat="false" ht="21.75" hidden="false" customHeight="true" outlineLevel="0" collapsed="false">
      <c r="A9" s="12"/>
      <c r="B9" s="4" t="s">
        <v>50</v>
      </c>
      <c r="C9" s="10" t="s">
        <v>42</v>
      </c>
      <c r="D9" s="11" t="s">
        <v>43</v>
      </c>
      <c r="E9" s="11" t="s">
        <v>42</v>
      </c>
      <c r="F9" s="11" t="s">
        <v>44</v>
      </c>
      <c r="G9" s="11" t="s">
        <v>42</v>
      </c>
      <c r="H9" s="11" t="s">
        <v>42</v>
      </c>
    </row>
    <row r="10" customFormat="false" ht="21.75" hidden="false" customHeight="true" outlineLevel="0" collapsed="false">
      <c r="A10" s="3" t="s">
        <v>51</v>
      </c>
      <c r="B10" s="4" t="s">
        <v>52</v>
      </c>
      <c r="C10" s="10" t="s">
        <v>42</v>
      </c>
      <c r="D10" s="11" t="s">
        <v>43</v>
      </c>
      <c r="E10" s="11" t="s">
        <v>43</v>
      </c>
      <c r="F10" s="11" t="s">
        <v>44</v>
      </c>
      <c r="G10" s="11" t="s">
        <v>42</v>
      </c>
      <c r="H10" s="11" t="s">
        <v>42</v>
      </c>
    </row>
    <row r="11" customFormat="false" ht="21.75" hidden="false" customHeight="true" outlineLevel="0" collapsed="false">
      <c r="A11" s="12"/>
      <c r="B11" s="4" t="s">
        <v>53</v>
      </c>
      <c r="C11" s="10" t="s">
        <v>42</v>
      </c>
      <c r="D11" s="11" t="s">
        <v>43</v>
      </c>
      <c r="E11" s="11" t="s">
        <v>42</v>
      </c>
      <c r="F11" s="11" t="s">
        <v>44</v>
      </c>
      <c r="G11" s="11" t="s">
        <v>42</v>
      </c>
      <c r="H11" s="11" t="s">
        <v>42</v>
      </c>
    </row>
    <row r="12" customFormat="false" ht="21.75" hidden="false" customHeight="true" outlineLevel="0" collapsed="false">
      <c r="A12" s="12"/>
      <c r="B12" s="4" t="s">
        <v>54</v>
      </c>
      <c r="C12" s="10" t="s">
        <v>42</v>
      </c>
      <c r="D12" s="11" t="s">
        <v>44</v>
      </c>
      <c r="E12" s="11" t="s">
        <v>43</v>
      </c>
      <c r="F12" s="11" t="s">
        <v>44</v>
      </c>
      <c r="G12" s="11" t="s">
        <v>42</v>
      </c>
      <c r="H12" s="11" t="s">
        <v>42</v>
      </c>
    </row>
    <row r="13" customFormat="false" ht="21.75" hidden="false" customHeight="true" outlineLevel="0" collapsed="false">
      <c r="A13" s="3" t="s">
        <v>55</v>
      </c>
      <c r="B13" s="4" t="s">
        <v>56</v>
      </c>
      <c r="C13" s="10" t="s">
        <v>42</v>
      </c>
      <c r="D13" s="11" t="s">
        <v>43</v>
      </c>
      <c r="E13" s="11" t="s">
        <v>42</v>
      </c>
      <c r="F13" s="11" t="s">
        <v>42</v>
      </c>
      <c r="G13" s="11" t="s">
        <v>42</v>
      </c>
      <c r="H13" s="11" t="s">
        <v>42</v>
      </c>
    </row>
    <row r="14" customFormat="false" ht="21.75" hidden="false" customHeight="true" outlineLevel="0" collapsed="false">
      <c r="A14" s="12"/>
      <c r="B14" s="4" t="s">
        <v>57</v>
      </c>
      <c r="C14" s="10" t="s">
        <v>43</v>
      </c>
      <c r="D14" s="11" t="s">
        <v>43</v>
      </c>
      <c r="E14" s="11" t="s">
        <v>43</v>
      </c>
      <c r="F14" s="11" t="s">
        <v>42</v>
      </c>
      <c r="G14" s="11" t="s">
        <v>42</v>
      </c>
      <c r="H14" s="11" t="s">
        <v>43</v>
      </c>
    </row>
    <row r="15" customFormat="false" ht="21.75" hidden="false" customHeight="true" outlineLevel="0" collapsed="false">
      <c r="A15" s="12"/>
      <c r="B15" s="4" t="s">
        <v>58</v>
      </c>
      <c r="C15" s="10" t="s">
        <v>44</v>
      </c>
      <c r="D15" s="11" t="s">
        <v>44</v>
      </c>
      <c r="E15" s="11" t="s">
        <v>44</v>
      </c>
      <c r="F15" s="11" t="s">
        <v>43</v>
      </c>
      <c r="G15" s="11" t="s">
        <v>42</v>
      </c>
      <c r="H15" s="11" t="s">
        <v>44</v>
      </c>
    </row>
    <row r="16" customFormat="false" ht="21.75" hidden="false" customHeight="true" outlineLevel="0" collapsed="false">
      <c r="A16" s="3" t="s">
        <v>59</v>
      </c>
      <c r="B16" s="4" t="s">
        <v>60</v>
      </c>
      <c r="C16" s="10" t="s">
        <v>42</v>
      </c>
      <c r="D16" s="11" t="s">
        <v>42</v>
      </c>
      <c r="E16" s="11" t="s">
        <v>43</v>
      </c>
      <c r="F16" s="11" t="s">
        <v>42</v>
      </c>
      <c r="G16" s="11" t="s">
        <v>42</v>
      </c>
      <c r="H16" s="11" t="s">
        <v>42</v>
      </c>
    </row>
    <row r="17" customFormat="false" ht="21.75" hidden="false" customHeight="true" outlineLevel="0" collapsed="false">
      <c r="A17" s="12"/>
      <c r="B17" s="4" t="s">
        <v>61</v>
      </c>
      <c r="C17" s="10" t="s">
        <v>42</v>
      </c>
      <c r="D17" s="11" t="s">
        <v>42</v>
      </c>
      <c r="E17" s="11" t="s">
        <v>42</v>
      </c>
      <c r="F17" s="11" t="s">
        <v>42</v>
      </c>
      <c r="G17" s="11" t="s">
        <v>42</v>
      </c>
      <c r="H17" s="11" t="s">
        <v>42</v>
      </c>
    </row>
    <row r="18" customFormat="false" ht="21.75" hidden="false" customHeight="true" outlineLevel="0" collapsed="false">
      <c r="A18" s="12"/>
      <c r="B18" s="4" t="s">
        <v>62</v>
      </c>
      <c r="C18" s="10" t="s">
        <v>43</v>
      </c>
      <c r="D18" s="11" t="s">
        <v>43</v>
      </c>
      <c r="E18" s="11" t="s">
        <v>43</v>
      </c>
      <c r="F18" s="11" t="s">
        <v>43</v>
      </c>
      <c r="G18" s="11" t="s">
        <v>42</v>
      </c>
      <c r="H18" s="11" t="s">
        <v>42</v>
      </c>
    </row>
    <row r="19" customFormat="false" ht="21.75" hidden="false" customHeight="true" outlineLevel="0" collapsed="false">
      <c r="A19" s="3" t="s">
        <v>63</v>
      </c>
      <c r="B19" s="4" t="s">
        <v>64</v>
      </c>
      <c r="C19" s="10" t="s">
        <v>42</v>
      </c>
      <c r="D19" s="11" t="s">
        <v>43</v>
      </c>
      <c r="E19" s="11" t="s">
        <v>42</v>
      </c>
      <c r="F19" s="11" t="s">
        <v>43</v>
      </c>
      <c r="G19" s="11" t="s">
        <v>42</v>
      </c>
      <c r="H19" s="11" t="s">
        <v>42</v>
      </c>
    </row>
    <row r="20" customFormat="false" ht="21.75" hidden="false" customHeight="true" outlineLevel="0" collapsed="false">
      <c r="A20" s="3" t="s">
        <v>65</v>
      </c>
      <c r="B20" s="4" t="s">
        <v>66</v>
      </c>
      <c r="C20" s="10" t="s">
        <v>42</v>
      </c>
      <c r="D20" s="11" t="s">
        <v>42</v>
      </c>
      <c r="E20" s="11" t="s">
        <v>43</v>
      </c>
      <c r="F20" s="11" t="s">
        <v>43</v>
      </c>
      <c r="G20" s="11" t="s">
        <v>42</v>
      </c>
      <c r="H20" s="11" t="s">
        <v>42</v>
      </c>
    </row>
    <row r="21" customFormat="false" ht="21.75" hidden="false" customHeight="true" outlineLevel="0" collapsed="false">
      <c r="A21" s="12"/>
      <c r="B21" s="4" t="s">
        <v>67</v>
      </c>
      <c r="C21" s="10" t="s">
        <v>42</v>
      </c>
      <c r="D21" s="11" t="s">
        <v>42</v>
      </c>
      <c r="E21" s="11" t="s">
        <v>42</v>
      </c>
      <c r="F21" s="11" t="s">
        <v>42</v>
      </c>
      <c r="G21" s="11" t="s">
        <v>42</v>
      </c>
      <c r="H21" s="11" t="s">
        <v>42</v>
      </c>
    </row>
    <row r="22" customFormat="false" ht="21.75" hidden="false" customHeight="true" outlineLevel="0" collapsed="false">
      <c r="A22" s="3" t="s">
        <v>68</v>
      </c>
      <c r="B22" s="4" t="s">
        <v>69</v>
      </c>
      <c r="C22" s="10" t="s">
        <v>42</v>
      </c>
      <c r="D22" s="11" t="s">
        <v>42</v>
      </c>
      <c r="E22" s="11" t="s">
        <v>42</v>
      </c>
      <c r="F22" s="11" t="s">
        <v>43</v>
      </c>
      <c r="G22" s="11" t="s">
        <v>42</v>
      </c>
      <c r="H22" s="11" t="s">
        <v>42</v>
      </c>
    </row>
    <row r="23" customFormat="false" ht="21.75" hidden="false" customHeight="true" outlineLevel="0" collapsed="false">
      <c r="A23" s="12"/>
      <c r="B23" s="4" t="s">
        <v>70</v>
      </c>
      <c r="C23" s="10" t="s">
        <v>42</v>
      </c>
      <c r="D23" s="11" t="s">
        <v>42</v>
      </c>
      <c r="E23" s="11" t="s">
        <v>42</v>
      </c>
      <c r="F23" s="11" t="s">
        <v>43</v>
      </c>
      <c r="G23" s="11" t="s">
        <v>42</v>
      </c>
      <c r="H23" s="11" t="s">
        <v>42</v>
      </c>
    </row>
    <row r="24" customFormat="false" ht="21.75" hidden="false" customHeight="true" outlineLevel="0" collapsed="false">
      <c r="A24" s="12"/>
      <c r="B24" s="4" t="s">
        <v>71</v>
      </c>
      <c r="C24" s="10" t="s">
        <v>43</v>
      </c>
      <c r="D24" s="11" t="s">
        <v>42</v>
      </c>
      <c r="E24" s="11" t="s">
        <v>42</v>
      </c>
      <c r="F24" s="11" t="s">
        <v>42</v>
      </c>
      <c r="G24" s="11" t="s">
        <v>42</v>
      </c>
      <c r="H24" s="11" t="s">
        <v>42</v>
      </c>
    </row>
    <row r="25" customFormat="false" ht="21.75" hidden="false" customHeight="true" outlineLevel="0" collapsed="false">
      <c r="A25" s="3" t="s">
        <v>72</v>
      </c>
      <c r="B25" s="4" t="s">
        <v>73</v>
      </c>
      <c r="C25" s="10" t="s">
        <v>42</v>
      </c>
      <c r="D25" s="11" t="s">
        <v>43</v>
      </c>
      <c r="E25" s="11" t="s">
        <v>43</v>
      </c>
      <c r="F25" s="11" t="s">
        <v>43</v>
      </c>
      <c r="G25" s="11" t="s">
        <v>43</v>
      </c>
      <c r="H25" s="11" t="s">
        <v>42</v>
      </c>
    </row>
    <row r="26" customFormat="false" ht="21.75" hidden="false" customHeight="true" outlineLevel="0" collapsed="false">
      <c r="A26" s="12"/>
      <c r="B26" s="4" t="s">
        <v>74</v>
      </c>
      <c r="C26" s="10" t="s">
        <v>42</v>
      </c>
      <c r="D26" s="11" t="s">
        <v>44</v>
      </c>
      <c r="E26" s="11" t="s">
        <v>44</v>
      </c>
      <c r="F26" s="11" t="s">
        <v>44</v>
      </c>
      <c r="G26" s="11" t="s">
        <v>44</v>
      </c>
      <c r="H26" s="11" t="s">
        <v>44</v>
      </c>
    </row>
    <row r="27" customFormat="false" ht="21.75" hidden="false" customHeight="true" outlineLevel="0" collapsed="false">
      <c r="A27" s="12"/>
      <c r="B27" s="4" t="s">
        <v>75</v>
      </c>
      <c r="C27" s="10" t="s">
        <v>42</v>
      </c>
      <c r="D27" s="11" t="s">
        <v>44</v>
      </c>
      <c r="E27" s="11" t="s">
        <v>44</v>
      </c>
      <c r="F27" s="11" t="s">
        <v>44</v>
      </c>
      <c r="G27" s="11" t="s">
        <v>44</v>
      </c>
      <c r="H27" s="11" t="s">
        <v>43</v>
      </c>
    </row>
    <row r="28" customFormat="false" ht="21.75" hidden="false" customHeight="true" outlineLevel="0" collapsed="false">
      <c r="A28" s="3" t="s">
        <v>76</v>
      </c>
      <c r="B28" s="4" t="s">
        <v>77</v>
      </c>
      <c r="C28" s="10" t="s">
        <v>42</v>
      </c>
      <c r="D28" s="11" t="s">
        <v>42</v>
      </c>
      <c r="E28" s="11" t="s">
        <v>42</v>
      </c>
      <c r="F28" s="11" t="s">
        <v>42</v>
      </c>
      <c r="G28" s="11" t="s">
        <v>42</v>
      </c>
      <c r="H28" s="11" t="s">
        <v>42</v>
      </c>
    </row>
    <row r="29" customFormat="false" ht="21.75" hidden="false" customHeight="true" outlineLevel="0" collapsed="false">
      <c r="A29" s="12"/>
      <c r="B29" s="4" t="s">
        <v>78</v>
      </c>
      <c r="C29" s="10" t="s">
        <v>42</v>
      </c>
      <c r="D29" s="11" t="s">
        <v>44</v>
      </c>
      <c r="E29" s="11" t="s">
        <v>43</v>
      </c>
      <c r="F29" s="11" t="s">
        <v>44</v>
      </c>
      <c r="G29" s="11" t="s">
        <v>42</v>
      </c>
      <c r="H29" s="11" t="s">
        <v>43</v>
      </c>
    </row>
    <row r="30" customFormat="false" ht="21.75" hidden="false" customHeight="true" outlineLevel="0" collapsed="false">
      <c r="A30" s="12"/>
      <c r="B30" s="4" t="s">
        <v>79</v>
      </c>
      <c r="C30" s="10" t="s">
        <v>42</v>
      </c>
      <c r="D30" s="11" t="s">
        <v>42</v>
      </c>
      <c r="E30" s="11" t="s">
        <v>42</v>
      </c>
      <c r="F30" s="11" t="s">
        <v>42</v>
      </c>
      <c r="G30" s="11" t="s">
        <v>42</v>
      </c>
      <c r="H30" s="11" t="s">
        <v>42</v>
      </c>
    </row>
    <row r="31" customFormat="false" ht="21.75" hidden="false" customHeight="true" outlineLevel="0" collapsed="false">
      <c r="A31" s="3" t="s">
        <v>80</v>
      </c>
      <c r="B31" s="4" t="s">
        <v>81</v>
      </c>
      <c r="C31" s="10" t="s">
        <v>42</v>
      </c>
      <c r="D31" s="11" t="s">
        <v>42</v>
      </c>
      <c r="E31" s="11" t="s">
        <v>42</v>
      </c>
      <c r="F31" s="11" t="s">
        <v>42</v>
      </c>
      <c r="G31" s="11" t="s">
        <v>42</v>
      </c>
      <c r="H31" s="11" t="s">
        <v>42</v>
      </c>
    </row>
    <row r="32" customFormat="false" ht="21.75" hidden="false" customHeight="true" outlineLevel="0" collapsed="false">
      <c r="A32" s="12"/>
      <c r="B32" s="4" t="s">
        <v>82</v>
      </c>
      <c r="C32" s="10" t="s">
        <v>42</v>
      </c>
      <c r="D32" s="11" t="s">
        <v>43</v>
      </c>
      <c r="E32" s="11" t="s">
        <v>42</v>
      </c>
      <c r="F32" s="11" t="s">
        <v>43</v>
      </c>
      <c r="G32" s="11" t="s">
        <v>42</v>
      </c>
      <c r="H32" s="11" t="s">
        <v>42</v>
      </c>
    </row>
    <row r="33" customFormat="false" ht="21.75" hidden="false" customHeight="true" outlineLevel="0" collapsed="false">
      <c r="A33" s="12"/>
      <c r="B33" s="4" t="s">
        <v>83</v>
      </c>
      <c r="C33" s="10" t="s">
        <v>42</v>
      </c>
      <c r="D33" s="11" t="s">
        <v>43</v>
      </c>
      <c r="E33" s="11" t="s">
        <v>43</v>
      </c>
      <c r="F33" s="11" t="s">
        <v>43</v>
      </c>
      <c r="G33" s="11" t="s">
        <v>43</v>
      </c>
      <c r="H33" s="11" t="s">
        <v>43</v>
      </c>
    </row>
    <row r="34" customFormat="false" ht="21.75" hidden="false" customHeight="true" outlineLevel="0" collapsed="false">
      <c r="A34" s="3" t="s">
        <v>84</v>
      </c>
      <c r="B34" s="4" t="s">
        <v>85</v>
      </c>
      <c r="C34" s="10" t="s">
        <v>42</v>
      </c>
      <c r="D34" s="11" t="s">
        <v>43</v>
      </c>
      <c r="E34" s="11" t="s">
        <v>43</v>
      </c>
      <c r="F34" s="11" t="s">
        <v>43</v>
      </c>
      <c r="G34" s="11" t="s">
        <v>42</v>
      </c>
      <c r="H34" s="11" t="s">
        <v>42</v>
      </c>
    </row>
    <row r="35" customFormat="false" ht="21.75" hidden="false" customHeight="true" outlineLevel="0" collapsed="false">
      <c r="A35" s="12"/>
      <c r="B35" s="4" t="s">
        <v>86</v>
      </c>
      <c r="C35" s="10" t="s">
        <v>42</v>
      </c>
      <c r="D35" s="11" t="s">
        <v>42</v>
      </c>
      <c r="E35" s="11" t="s">
        <v>43</v>
      </c>
      <c r="F35" s="11" t="s">
        <v>43</v>
      </c>
      <c r="G35" s="11" t="s">
        <v>43</v>
      </c>
      <c r="H35" s="11" t="s">
        <v>42</v>
      </c>
    </row>
    <row r="36" customFormat="false" ht="21.75" hidden="false" customHeight="true" outlineLevel="0" collapsed="false">
      <c r="A36" s="3" t="s">
        <v>87</v>
      </c>
      <c r="B36" s="4" t="s">
        <v>88</v>
      </c>
      <c r="C36" s="10" t="s">
        <v>42</v>
      </c>
      <c r="D36" s="11" t="s">
        <v>89</v>
      </c>
      <c r="E36" s="11" t="s">
        <v>89</v>
      </c>
      <c r="F36" s="11" t="s">
        <v>89</v>
      </c>
      <c r="G36" s="11" t="s">
        <v>89</v>
      </c>
      <c r="H36" s="11" t="s">
        <v>89</v>
      </c>
    </row>
    <row r="37" customFormat="false" ht="21.75" hidden="false" customHeight="true" outlineLevel="0" collapsed="false">
      <c r="A37" s="3" t="s">
        <v>90</v>
      </c>
      <c r="B37" s="4" t="s">
        <v>91</v>
      </c>
      <c r="C37" s="10" t="s">
        <v>42</v>
      </c>
      <c r="D37" s="11" t="s">
        <v>43</v>
      </c>
      <c r="E37" s="11" t="s">
        <v>43</v>
      </c>
      <c r="F37" s="11" t="s">
        <v>43</v>
      </c>
      <c r="G37" s="11" t="s">
        <v>43</v>
      </c>
      <c r="H37" s="11" t="s">
        <v>43</v>
      </c>
    </row>
    <row r="38" customFormat="false" ht="21.75" hidden="false" customHeight="true" outlineLevel="0" collapsed="false">
      <c r="A38" s="3" t="s">
        <v>92</v>
      </c>
      <c r="B38" s="4" t="s">
        <v>93</v>
      </c>
      <c r="C38" s="10" t="s">
        <v>43</v>
      </c>
      <c r="D38" s="11" t="s">
        <v>42</v>
      </c>
      <c r="E38" s="11" t="s">
        <v>42</v>
      </c>
      <c r="F38" s="11" t="s">
        <v>42</v>
      </c>
      <c r="G38" s="11" t="s">
        <v>42</v>
      </c>
      <c r="H38" s="11" t="s">
        <v>42</v>
      </c>
    </row>
    <row r="39" customFormat="false" ht="21.75" hidden="false" customHeight="true" outlineLevel="0" collapsed="false">
      <c r="A39" s="3" t="s">
        <v>94</v>
      </c>
      <c r="B39" s="4" t="s">
        <v>95</v>
      </c>
      <c r="C39" s="10" t="s">
        <v>43</v>
      </c>
      <c r="D39" s="11" t="s">
        <v>42</v>
      </c>
      <c r="E39" s="11" t="s">
        <v>42</v>
      </c>
      <c r="F39" s="11" t="s">
        <v>42</v>
      </c>
      <c r="G39" s="11" t="s">
        <v>43</v>
      </c>
      <c r="H39" s="11" t="s">
        <v>43</v>
      </c>
    </row>
    <row r="41" customFormat="false" ht="15" hidden="false" customHeight="true" outlineLevel="0" collapsed="false">
      <c r="A41" s="13" t="s">
        <v>96</v>
      </c>
      <c r="B41" s="14" t="s">
        <v>97</v>
      </c>
      <c r="C41" s="15" t="n">
        <f aca="false">COUNTIF(C4:C39,"Yes")</f>
        <v>29</v>
      </c>
      <c r="D41" s="16" t="n">
        <f aca="false">COUNTIF(D4:D39,"Yes")</f>
        <v>16</v>
      </c>
      <c r="E41" s="16" t="n">
        <f aca="false">COUNTIF(E4:E39,"Yes")</f>
        <v>19</v>
      </c>
      <c r="F41" s="16" t="n">
        <f aca="false">COUNTIF(F4:F39,"Yes")</f>
        <v>12</v>
      </c>
      <c r="G41" s="16" t="n">
        <f aca="false">COUNTIF(G4:G39,"Yes")</f>
        <v>27</v>
      </c>
      <c r="H41" s="16" t="n">
        <f aca="false">COUNTIF(H4:H39,"Yes")</f>
        <v>26</v>
      </c>
    </row>
    <row r="42" customFormat="false" ht="15" hidden="false" customHeight="true" outlineLevel="0" collapsed="false">
      <c r="B42" s="17" t="s">
        <v>98</v>
      </c>
      <c r="C42" s="15" t="n">
        <f aca="false">COUNTIF(C4:C39,"Partial")</f>
        <v>6</v>
      </c>
      <c r="D42" s="18" t="n">
        <f aca="false">COUNTIF(D4:D39,"Partial")</f>
        <v>14</v>
      </c>
      <c r="E42" s="18" t="n">
        <f aca="false">COUNTIF(E4:E39,"Partial")</f>
        <v>12</v>
      </c>
      <c r="F42" s="18" t="n">
        <f aca="false">COUNTIF(F4:F39,"Partial")</f>
        <v>14</v>
      </c>
      <c r="G42" s="18" t="n">
        <f aca="false">COUNTIF(G4:G39,"Partial")</f>
        <v>6</v>
      </c>
      <c r="H42" s="18" t="n">
        <f aca="false">COUNTIF(H4:H39,"Partial")</f>
        <v>7</v>
      </c>
    </row>
    <row r="43" customFormat="false" ht="15" hidden="false" customHeight="true" outlineLevel="0" collapsed="false">
      <c r="B43" s="17" t="s">
        <v>99</v>
      </c>
      <c r="C43" s="15" t="n">
        <f aca="false">COUNTIF(C4:C39,"No")</f>
        <v>1</v>
      </c>
      <c r="D43" s="18" t="n">
        <f aca="false">COUNTIF(D4:D39,"No")</f>
        <v>5</v>
      </c>
      <c r="E43" s="18" t="n">
        <f aca="false">COUNTIF(E4:E39,"No")</f>
        <v>4</v>
      </c>
      <c r="F43" s="18" t="n">
        <f aca="false">COUNTIF(F4:F39,"No")</f>
        <v>9</v>
      </c>
      <c r="G43" s="18" t="n">
        <f aca="false">COUNTIF(G4:G39,"No")</f>
        <v>2</v>
      </c>
      <c r="H43" s="18" t="n">
        <f aca="false">COUNTIF(H4:H39,"No")</f>
        <v>2</v>
      </c>
    </row>
  </sheetData>
  <mergeCells count="1">
    <mergeCell ref="A1:H1"/>
  </mergeCells>
  <conditionalFormatting sqref="C4:H3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"No"</formula>
    </cfRule>
    <cfRule type="cellIs" priority="5" operator="equal" aboveAverage="0" equalAverage="0" bottom="0" percent="0" rank="0" text="" dxfId="3">
      <formula>"Unknown"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7" min="5" style="1" width="22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8" t="s">
        <v>100</v>
      </c>
      <c r="B1" s="8"/>
      <c r="C1" s="8"/>
      <c r="D1" s="8"/>
      <c r="E1" s="8"/>
      <c r="F1" s="8"/>
      <c r="G1" s="8"/>
      <c r="H1" s="8"/>
    </row>
    <row r="3" customFormat="false" ht="36" hidden="false" customHeight="true" outlineLevel="0" collapsed="false">
      <c r="A3" s="9" t="s">
        <v>101</v>
      </c>
      <c r="B3" s="9" t="s">
        <v>102</v>
      </c>
      <c r="C3" s="9" t="s">
        <v>14</v>
      </c>
      <c r="D3" s="9" t="s">
        <v>16</v>
      </c>
      <c r="E3" s="9" t="s">
        <v>18</v>
      </c>
      <c r="F3" s="9" t="s">
        <v>20</v>
      </c>
      <c r="G3" s="9" t="s">
        <v>22</v>
      </c>
      <c r="H3" s="9" t="s">
        <v>24</v>
      </c>
    </row>
    <row r="4" customFormat="false" ht="15" hidden="false" customHeight="true" outlineLevel="0" collapsed="false">
      <c r="A4" s="13" t="s">
        <v>103</v>
      </c>
      <c r="B4" s="19"/>
      <c r="C4" s="19"/>
      <c r="D4" s="19"/>
      <c r="E4" s="19"/>
      <c r="F4" s="19"/>
      <c r="G4" s="19"/>
      <c r="H4" s="19"/>
    </row>
    <row r="5" customFormat="false" ht="15" hidden="false" customHeight="true" outlineLevel="0" collapsed="false">
      <c r="A5" s="4" t="s">
        <v>104</v>
      </c>
      <c r="B5" s="20" t="n">
        <v>0.08</v>
      </c>
      <c r="C5" s="10" t="n">
        <v>4</v>
      </c>
      <c r="D5" s="11" t="n">
        <v>3</v>
      </c>
      <c r="E5" s="11" t="n">
        <v>4</v>
      </c>
      <c r="F5" s="11" t="n">
        <v>3</v>
      </c>
      <c r="G5" s="11" t="n">
        <v>5</v>
      </c>
      <c r="H5" s="11" t="n">
        <v>4</v>
      </c>
    </row>
    <row r="6" customFormat="false" ht="15" hidden="false" customHeight="true" outlineLevel="0" collapsed="false">
      <c r="A6" s="4" t="s">
        <v>105</v>
      </c>
      <c r="B6" s="20" t="n">
        <v>0.06</v>
      </c>
      <c r="C6" s="10" t="n">
        <v>2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3</v>
      </c>
    </row>
    <row r="7" customFormat="false" ht="15" hidden="false" customHeight="true" outlineLevel="0" collapsed="false">
      <c r="A7" s="4" t="s">
        <v>106</v>
      </c>
      <c r="B7" s="20" t="n">
        <v>0.06</v>
      </c>
      <c r="C7" s="10" t="n">
        <v>4</v>
      </c>
      <c r="D7" s="11" t="n">
        <v>5</v>
      </c>
      <c r="E7" s="11" t="n">
        <v>3</v>
      </c>
      <c r="F7" s="11" t="n">
        <v>4</v>
      </c>
      <c r="G7" s="11" t="n">
        <v>4</v>
      </c>
      <c r="H7" s="11" t="n">
        <v>4</v>
      </c>
    </row>
    <row r="8" customFormat="false" ht="15" hidden="false" customHeight="true" outlineLevel="0" collapsed="false">
      <c r="A8" s="4" t="s">
        <v>107</v>
      </c>
      <c r="B8" s="20" t="n">
        <v>0.05</v>
      </c>
      <c r="C8" s="10" t="n">
        <v>4</v>
      </c>
      <c r="D8" s="11" t="n">
        <v>2</v>
      </c>
      <c r="E8" s="11" t="n">
        <v>3</v>
      </c>
      <c r="F8" s="11" t="n">
        <v>2</v>
      </c>
      <c r="G8" s="11" t="n">
        <v>5</v>
      </c>
      <c r="H8" s="11" t="n">
        <v>4</v>
      </c>
    </row>
    <row r="9" customFormat="false" ht="15" hidden="false" customHeight="true" outlineLevel="0" collapsed="false">
      <c r="A9" s="4" t="s">
        <v>108</v>
      </c>
      <c r="B9" s="20" t="n">
        <v>0.08</v>
      </c>
      <c r="C9" s="10" t="n">
        <v>5</v>
      </c>
      <c r="D9" s="11" t="n">
        <v>3</v>
      </c>
      <c r="E9" s="11" t="n">
        <v>3</v>
      </c>
      <c r="F9" s="11" t="n">
        <v>3</v>
      </c>
      <c r="G9" s="11" t="n">
        <v>3</v>
      </c>
      <c r="H9" s="11" t="n">
        <v>4</v>
      </c>
    </row>
    <row r="10" customFormat="false" ht="15" hidden="false" customHeight="true" outlineLevel="0" collapsed="false">
      <c r="A10" s="4" t="s">
        <v>109</v>
      </c>
      <c r="B10" s="20" t="n">
        <v>0.04</v>
      </c>
      <c r="C10" s="10" t="n">
        <v>4</v>
      </c>
      <c r="D10" s="11" t="n">
        <v>5</v>
      </c>
      <c r="E10" s="11" t="n">
        <v>4</v>
      </c>
      <c r="F10" s="11" t="n">
        <v>4</v>
      </c>
      <c r="G10" s="11" t="n">
        <v>4</v>
      </c>
      <c r="H10" s="11" t="n">
        <v>4</v>
      </c>
    </row>
    <row r="11" customFormat="false" ht="15" hidden="false" customHeight="true" outlineLevel="0" collapsed="false">
      <c r="A11" s="13" t="s">
        <v>110</v>
      </c>
      <c r="B11" s="19"/>
      <c r="C11" s="19"/>
      <c r="D11" s="19"/>
      <c r="E11" s="19"/>
      <c r="F11" s="19"/>
      <c r="G11" s="19"/>
      <c r="H11" s="19"/>
    </row>
    <row r="12" customFormat="false" ht="15" hidden="false" customHeight="true" outlineLevel="0" collapsed="false">
      <c r="A12" s="4" t="s">
        <v>111</v>
      </c>
      <c r="B12" s="20" t="n">
        <v>0.07</v>
      </c>
      <c r="C12" s="10" t="n">
        <v>5</v>
      </c>
      <c r="D12" s="11" t="n">
        <v>3</v>
      </c>
      <c r="E12" s="11" t="n">
        <v>4</v>
      </c>
      <c r="F12" s="11" t="n">
        <v>3</v>
      </c>
      <c r="G12" s="11" t="n">
        <v>4</v>
      </c>
      <c r="H12" s="11" t="n">
        <v>4</v>
      </c>
    </row>
    <row r="13" customFormat="false" ht="15" hidden="false" customHeight="true" outlineLevel="0" collapsed="false">
      <c r="A13" s="4" t="s">
        <v>112</v>
      </c>
      <c r="B13" s="20" t="n">
        <v>0.07</v>
      </c>
      <c r="C13" s="10" t="n">
        <v>5</v>
      </c>
      <c r="D13" s="11" t="n">
        <v>4</v>
      </c>
      <c r="E13" s="11" t="n">
        <v>4</v>
      </c>
      <c r="F13" s="11" t="n">
        <v>4</v>
      </c>
      <c r="G13" s="11" t="n">
        <v>4</v>
      </c>
      <c r="H13" s="11" t="n">
        <v>4</v>
      </c>
    </row>
    <row r="14" customFormat="false" ht="15" hidden="false" customHeight="true" outlineLevel="0" collapsed="false">
      <c r="A14" s="4" t="s">
        <v>113</v>
      </c>
      <c r="B14" s="20" t="n">
        <v>0.06</v>
      </c>
      <c r="C14" s="10" t="n">
        <v>5</v>
      </c>
      <c r="D14" s="11" t="n">
        <v>2</v>
      </c>
      <c r="E14" s="11" t="n">
        <v>2</v>
      </c>
      <c r="F14" s="11" t="n">
        <v>2</v>
      </c>
      <c r="G14" s="11" t="n">
        <v>2</v>
      </c>
      <c r="H14" s="11" t="n">
        <v>3</v>
      </c>
    </row>
    <row r="15" customFormat="false" ht="15" hidden="false" customHeight="true" outlineLevel="0" collapsed="false">
      <c r="A15" s="4" t="s">
        <v>114</v>
      </c>
      <c r="B15" s="20" t="n">
        <v>0.05</v>
      </c>
      <c r="C15" s="10" t="n">
        <v>4</v>
      </c>
      <c r="D15" s="11" t="n">
        <v>4</v>
      </c>
      <c r="E15" s="11" t="n">
        <v>5</v>
      </c>
      <c r="F15" s="11" t="n">
        <v>4</v>
      </c>
      <c r="G15" s="11" t="n">
        <v>5</v>
      </c>
      <c r="H15" s="11" t="n">
        <v>4</v>
      </c>
    </row>
    <row r="16" customFormat="false" ht="15" hidden="false" customHeight="true" outlineLevel="0" collapsed="false">
      <c r="A16" s="13" t="s">
        <v>115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4" t="s">
        <v>116</v>
      </c>
      <c r="B17" s="20" t="n">
        <v>0.05</v>
      </c>
      <c r="C17" s="10" t="n">
        <v>5</v>
      </c>
      <c r="D17" s="11" t="n">
        <v>4</v>
      </c>
      <c r="E17" s="11" t="n">
        <v>4</v>
      </c>
      <c r="F17" s="11" t="n">
        <v>4</v>
      </c>
      <c r="G17" s="11" t="n">
        <v>4</v>
      </c>
      <c r="H17" s="11" t="n">
        <v>4</v>
      </c>
    </row>
    <row r="18" customFormat="false" ht="15" hidden="false" customHeight="true" outlineLevel="0" collapsed="false">
      <c r="A18" s="4" t="s">
        <v>117</v>
      </c>
      <c r="B18" s="20" t="n">
        <v>0.05</v>
      </c>
      <c r="C18" s="10" t="n">
        <v>5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2</v>
      </c>
    </row>
    <row r="19" customFormat="false" ht="15" hidden="false" customHeight="true" outlineLevel="0" collapsed="false">
      <c r="A19" s="4" t="s">
        <v>118</v>
      </c>
      <c r="B19" s="20" t="n">
        <v>0.05</v>
      </c>
      <c r="C19" s="10" t="n">
        <v>5</v>
      </c>
      <c r="D19" s="11" t="n">
        <v>3</v>
      </c>
      <c r="E19" s="11" t="n">
        <v>4</v>
      </c>
      <c r="F19" s="11" t="n">
        <v>3</v>
      </c>
      <c r="G19" s="11" t="n">
        <v>4</v>
      </c>
      <c r="H19" s="11" t="n">
        <v>4</v>
      </c>
    </row>
    <row r="20" customFormat="false" ht="15" hidden="false" customHeight="true" outlineLevel="0" collapsed="false">
      <c r="A20" s="4" t="s">
        <v>119</v>
      </c>
      <c r="B20" s="20" t="n">
        <v>0.03</v>
      </c>
      <c r="C20" s="10" t="n">
        <v>2</v>
      </c>
      <c r="D20" s="11" t="n">
        <v>5</v>
      </c>
      <c r="E20" s="11" t="n">
        <v>5</v>
      </c>
      <c r="F20" s="11" t="n">
        <v>5</v>
      </c>
      <c r="G20" s="11" t="n">
        <v>3</v>
      </c>
      <c r="H20" s="11" t="n">
        <v>3</v>
      </c>
    </row>
    <row r="21" customFormat="false" ht="15" hidden="false" customHeight="true" outlineLevel="0" collapsed="false">
      <c r="A21" s="13" t="s">
        <v>120</v>
      </c>
      <c r="B21" s="19"/>
      <c r="C21" s="19"/>
      <c r="D21" s="19"/>
      <c r="E21" s="19"/>
      <c r="F21" s="19"/>
      <c r="G21" s="19"/>
      <c r="H21" s="19"/>
    </row>
    <row r="22" customFormat="false" ht="15" hidden="false" customHeight="true" outlineLevel="0" collapsed="false">
      <c r="A22" s="4" t="s">
        <v>121</v>
      </c>
      <c r="B22" s="20" t="n">
        <v>0.06</v>
      </c>
      <c r="C22" s="10" t="n">
        <v>5</v>
      </c>
      <c r="D22" s="11" t="n">
        <v>3</v>
      </c>
      <c r="E22" s="11" t="n">
        <v>2</v>
      </c>
      <c r="F22" s="11" t="n">
        <v>3</v>
      </c>
      <c r="G22" s="11" t="n">
        <v>2</v>
      </c>
      <c r="H22" s="11" t="n">
        <v>3</v>
      </c>
    </row>
    <row r="23" customFormat="false" ht="15" hidden="false" customHeight="true" outlineLevel="0" collapsed="false">
      <c r="A23" s="4" t="s">
        <v>122</v>
      </c>
      <c r="B23" s="20" t="n">
        <v>0.05</v>
      </c>
      <c r="C23" s="10" t="n">
        <v>5</v>
      </c>
      <c r="D23" s="11" t="n">
        <v>2</v>
      </c>
      <c r="E23" s="11" t="n">
        <v>3</v>
      </c>
      <c r="F23" s="11" t="n">
        <v>1</v>
      </c>
      <c r="G23" s="11" t="n">
        <v>4</v>
      </c>
      <c r="H23" s="11" t="n">
        <v>3</v>
      </c>
    </row>
    <row r="24" customFormat="false" ht="15" hidden="false" customHeight="true" outlineLevel="0" collapsed="false">
      <c r="A24" s="4" t="s">
        <v>123</v>
      </c>
      <c r="B24" s="20" t="n">
        <v>0.05</v>
      </c>
      <c r="C24" s="10" t="n">
        <v>4</v>
      </c>
      <c r="D24" s="11" t="n">
        <v>4</v>
      </c>
      <c r="E24" s="11" t="n">
        <v>2</v>
      </c>
      <c r="F24" s="11" t="n">
        <v>3</v>
      </c>
      <c r="G24" s="11" t="n">
        <v>2</v>
      </c>
      <c r="H24" s="11" t="n">
        <v>3</v>
      </c>
    </row>
    <row r="25" customFormat="false" ht="15" hidden="false" customHeight="true" outlineLevel="0" collapsed="false">
      <c r="A25" s="4" t="s">
        <v>124</v>
      </c>
      <c r="B25" s="20" t="n">
        <v>0.04</v>
      </c>
      <c r="C25" s="10" t="n">
        <v>3</v>
      </c>
      <c r="D25" s="11" t="n">
        <v>5</v>
      </c>
      <c r="E25" s="11" t="n">
        <v>4</v>
      </c>
      <c r="F25" s="11" t="n">
        <v>5</v>
      </c>
      <c r="G25" s="11" t="n">
        <v>4</v>
      </c>
      <c r="H25" s="11" t="n">
        <v>4</v>
      </c>
    </row>
    <row r="27" customFormat="false" ht="15" hidden="false" customHeight="true" outlineLevel="0" collapsed="false">
      <c r="A27" s="3" t="s">
        <v>125</v>
      </c>
      <c r="B27" s="21" t="n">
        <f aca="false">SUM(B5:B25)</f>
        <v>1</v>
      </c>
    </row>
    <row r="29" customFormat="false" ht="15" hidden="false" customHeight="true" outlineLevel="0" collapsed="false">
      <c r="A29" s="22" t="s">
        <v>126</v>
      </c>
      <c r="B29" s="23"/>
      <c r="C29" s="24" t="n">
        <f aca="false">SUMPRODUCT(B5:B25,C5:C25)</f>
        <v>4.32</v>
      </c>
      <c r="D29" s="25" t="n">
        <f aca="false">SUMPRODUCT(B5:B25,D5:D25)</f>
        <v>3.24</v>
      </c>
      <c r="E29" s="25" t="n">
        <f aca="false">SUMPRODUCT(B5:B25,E5:E25)</f>
        <v>3.29</v>
      </c>
      <c r="F29" s="25" t="n">
        <f aca="false">SUMPRODUCT(B5:B25,F5:F25)</f>
        <v>3.16</v>
      </c>
      <c r="G29" s="25" t="n">
        <f aca="false">SUMPRODUCT(B5:B25,G5:G25)</f>
        <v>3.64</v>
      </c>
      <c r="H29" s="25" t="n">
        <f aca="false">SUMPRODUCT(B5:B25,H5:H25)</f>
        <v>3.59</v>
      </c>
    </row>
    <row r="30" customFormat="false" ht="15" hidden="false" customHeight="true" outlineLevel="0" collapsed="false">
      <c r="A30" s="3" t="s">
        <v>127</v>
      </c>
      <c r="C30" s="15" t="n">
        <f aca="false">RANK(C29,$C$29:$H$29,0)</f>
        <v>1</v>
      </c>
      <c r="D30" s="18" t="n">
        <f aca="false">RANK(D29,$C$29:$H$29,0)</f>
        <v>5</v>
      </c>
      <c r="E30" s="18" t="n">
        <f aca="false">RANK(E29,$C$29:$H$29,0)</f>
        <v>4</v>
      </c>
      <c r="F30" s="18" t="n">
        <f aca="false">RANK(F29,$C$29:$H$29,0)</f>
        <v>6</v>
      </c>
      <c r="G30" s="18" t="n">
        <f aca="false">RANK(G29,$C$29:$H$29,0)</f>
        <v>2</v>
      </c>
      <c r="H30" s="18" t="n">
        <f aca="false">RANK(H29,$C$29:$H$29,0)</f>
        <v>3</v>
      </c>
    </row>
    <row r="32" customFormat="false" ht="15" hidden="false" customHeight="true" outlineLevel="0" collapsed="false">
      <c r="A32" s="13" t="s">
        <v>128</v>
      </c>
      <c r="B32" s="13"/>
      <c r="C32" s="13"/>
      <c r="D32" s="13"/>
      <c r="E32" s="13"/>
      <c r="F32" s="13"/>
      <c r="G32" s="13"/>
      <c r="H32" s="13"/>
    </row>
    <row r="33" customFormat="false" ht="30" hidden="false" customHeight="true" outlineLevel="0" collapsed="false">
      <c r="A33" s="4" t="s">
        <v>129</v>
      </c>
      <c r="B33" s="4"/>
      <c r="C33" s="4"/>
      <c r="D33" s="4"/>
      <c r="E33" s="4"/>
      <c r="F33" s="4"/>
      <c r="G33" s="4"/>
      <c r="H33" s="4"/>
    </row>
    <row r="34" customFormat="false" ht="30" hidden="false" customHeight="true" outlineLevel="0" collapsed="false">
      <c r="A34" s="4" t="s">
        <v>130</v>
      </c>
      <c r="B34" s="4"/>
      <c r="C34" s="4"/>
      <c r="D34" s="4"/>
      <c r="E34" s="4"/>
      <c r="F34" s="4"/>
      <c r="G34" s="4"/>
      <c r="H34" s="4"/>
    </row>
    <row r="35" customFormat="false" ht="30" hidden="false" customHeight="true" outlineLevel="0" collapsed="false">
      <c r="A35" s="4" t="s">
        <v>131</v>
      </c>
      <c r="B35" s="4"/>
      <c r="C35" s="4"/>
      <c r="D35" s="4"/>
      <c r="E35" s="4"/>
      <c r="F35" s="4"/>
      <c r="G35" s="4"/>
      <c r="H35" s="4"/>
    </row>
    <row r="36" customFormat="false" ht="30" hidden="false" customHeight="true" outlineLevel="0" collapsed="false">
      <c r="A36" s="4" t="s">
        <v>132</v>
      </c>
      <c r="B36" s="4"/>
      <c r="C36" s="4"/>
      <c r="D36" s="4"/>
      <c r="E36" s="4"/>
      <c r="F36" s="4"/>
      <c r="G36" s="4"/>
      <c r="H36" s="4"/>
    </row>
  </sheetData>
  <mergeCells count="6">
    <mergeCell ref="A1:H1"/>
    <mergeCell ref="A32:H32"/>
    <mergeCell ref="A33:H33"/>
    <mergeCell ref="A34:H34"/>
    <mergeCell ref="A35:H35"/>
    <mergeCell ref="A36:H36"/>
  </mergeCells>
  <conditionalFormatting sqref="C5:H2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26"/>
    <col collapsed="false" customWidth="true" hidden="false" outlineLevel="0" max="6" min="6" style="1" width="28"/>
    <col collapsed="false" customWidth="true" hidden="false" outlineLevel="0" max="7" min="7" style="1" width="22"/>
  </cols>
  <sheetData>
    <row r="1" customFormat="false" ht="27.75" hidden="false" customHeight="true" outlineLevel="0" collapsed="false">
      <c r="A1" s="8" t="s">
        <v>133</v>
      </c>
      <c r="B1" s="8"/>
      <c r="C1" s="8"/>
      <c r="D1" s="8"/>
      <c r="E1" s="8"/>
      <c r="F1" s="8"/>
      <c r="G1" s="8"/>
    </row>
    <row r="3" customFormat="false" ht="36" hidden="false" customHeight="true" outlineLevel="0" collapsed="false">
      <c r="A3" s="9" t="s">
        <v>134</v>
      </c>
      <c r="B3" s="9" t="s">
        <v>14</v>
      </c>
      <c r="C3" s="9" t="s">
        <v>16</v>
      </c>
      <c r="D3" s="9" t="s">
        <v>18</v>
      </c>
      <c r="E3" s="9" t="s">
        <v>20</v>
      </c>
      <c r="F3" s="9" t="s">
        <v>22</v>
      </c>
      <c r="G3" s="9" t="s">
        <v>24</v>
      </c>
    </row>
    <row r="4" customFormat="false" ht="42" hidden="false" customHeight="true" outlineLevel="0" collapsed="false">
      <c r="A4" s="26" t="s">
        <v>135</v>
      </c>
      <c r="B4" s="27" t="s">
        <v>136</v>
      </c>
      <c r="C4" s="28" t="s">
        <v>137</v>
      </c>
      <c r="D4" s="28" t="s">
        <v>137</v>
      </c>
      <c r="E4" s="28" t="s">
        <v>137</v>
      </c>
      <c r="F4" s="28" t="s">
        <v>138</v>
      </c>
      <c r="G4" s="28" t="s">
        <v>138</v>
      </c>
    </row>
    <row r="5" customFormat="false" ht="42" hidden="false" customHeight="true" outlineLevel="0" collapsed="false">
      <c r="A5" s="29" t="s">
        <v>139</v>
      </c>
      <c r="B5" s="27" t="s">
        <v>140</v>
      </c>
      <c r="C5" s="4" t="s">
        <v>141</v>
      </c>
      <c r="D5" s="4" t="s">
        <v>141</v>
      </c>
      <c r="E5" s="4" t="s">
        <v>141</v>
      </c>
      <c r="F5" s="4" t="s">
        <v>142</v>
      </c>
      <c r="G5" s="4" t="s">
        <v>143</v>
      </c>
    </row>
    <row r="6" customFormat="false" ht="42" hidden="false" customHeight="true" outlineLevel="0" collapsed="false">
      <c r="A6" s="26" t="s">
        <v>144</v>
      </c>
      <c r="B6" s="27" t="s">
        <v>145</v>
      </c>
      <c r="C6" s="28" t="s">
        <v>146</v>
      </c>
      <c r="D6" s="28" t="s">
        <v>146</v>
      </c>
      <c r="E6" s="28" t="s">
        <v>146</v>
      </c>
      <c r="F6" s="28" t="s">
        <v>146</v>
      </c>
      <c r="G6" s="28" t="s">
        <v>146</v>
      </c>
    </row>
    <row r="7" customFormat="false" ht="42" hidden="false" customHeight="true" outlineLevel="0" collapsed="false">
      <c r="A7" s="29" t="s">
        <v>147</v>
      </c>
      <c r="B7" s="27" t="s">
        <v>148</v>
      </c>
      <c r="C7" s="4" t="s">
        <v>149</v>
      </c>
      <c r="D7" s="4" t="s">
        <v>150</v>
      </c>
      <c r="E7" s="4" t="s">
        <v>149</v>
      </c>
      <c r="F7" s="4" t="s">
        <v>150</v>
      </c>
      <c r="G7" s="4" t="s">
        <v>150</v>
      </c>
    </row>
    <row r="8" customFormat="false" ht="42" hidden="false" customHeight="true" outlineLevel="0" collapsed="false">
      <c r="A8" s="26" t="s">
        <v>151</v>
      </c>
      <c r="B8" s="27" t="s">
        <v>152</v>
      </c>
      <c r="C8" s="28" t="s">
        <v>153</v>
      </c>
      <c r="D8" s="28" t="s">
        <v>153</v>
      </c>
      <c r="E8" s="28" t="s">
        <v>153</v>
      </c>
      <c r="F8" s="28" t="s">
        <v>154</v>
      </c>
      <c r="G8" s="28" t="s">
        <v>154</v>
      </c>
    </row>
    <row r="9" customFormat="false" ht="42" hidden="false" customHeight="true" outlineLevel="0" collapsed="false">
      <c r="A9" s="29" t="s">
        <v>155</v>
      </c>
      <c r="B9" s="27" t="s">
        <v>156</v>
      </c>
      <c r="C9" s="4" t="s">
        <v>157</v>
      </c>
      <c r="D9" s="4" t="s">
        <v>157</v>
      </c>
      <c r="E9" s="4" t="s">
        <v>157</v>
      </c>
      <c r="F9" s="4" t="s">
        <v>157</v>
      </c>
      <c r="G9" s="4" t="s">
        <v>157</v>
      </c>
    </row>
    <row r="10" customFormat="false" ht="42" hidden="false" customHeight="true" outlineLevel="0" collapsed="false">
      <c r="A10" s="26" t="s">
        <v>158</v>
      </c>
      <c r="B10" s="27" t="s">
        <v>159</v>
      </c>
      <c r="C10" s="28" t="s">
        <v>160</v>
      </c>
      <c r="D10" s="28" t="s">
        <v>161</v>
      </c>
      <c r="E10" s="28" t="s">
        <v>160</v>
      </c>
      <c r="F10" s="28" t="s">
        <v>162</v>
      </c>
      <c r="G10" s="28" t="s">
        <v>142</v>
      </c>
    </row>
    <row r="11" customFormat="false" ht="42" hidden="false" customHeight="true" outlineLevel="0" collapsed="false">
      <c r="A11" s="29" t="s">
        <v>163</v>
      </c>
      <c r="B11" s="27" t="s">
        <v>164</v>
      </c>
      <c r="C11" s="4" t="s">
        <v>165</v>
      </c>
      <c r="D11" s="4" t="s">
        <v>165</v>
      </c>
      <c r="E11" s="4" t="s">
        <v>165</v>
      </c>
      <c r="F11" s="4" t="s">
        <v>165</v>
      </c>
      <c r="G11" s="4" t="s">
        <v>165</v>
      </c>
    </row>
    <row r="12" customFormat="false" ht="42" hidden="false" customHeight="true" outlineLevel="0" collapsed="false">
      <c r="A12" s="26" t="s">
        <v>166</v>
      </c>
      <c r="B12" s="27" t="s">
        <v>167</v>
      </c>
      <c r="C12" s="28" t="s">
        <v>168</v>
      </c>
      <c r="D12" s="28" t="s">
        <v>168</v>
      </c>
      <c r="E12" s="28" t="s">
        <v>168</v>
      </c>
      <c r="F12" s="28" t="s">
        <v>168</v>
      </c>
      <c r="G12" s="28" t="s">
        <v>168</v>
      </c>
    </row>
    <row r="13" customFormat="false" ht="42" hidden="false" customHeight="true" outlineLevel="0" collapsed="false">
      <c r="A13" s="29" t="s">
        <v>169</v>
      </c>
      <c r="B13" s="27" t="s">
        <v>170</v>
      </c>
      <c r="C13" s="4" t="s">
        <v>171</v>
      </c>
      <c r="D13" s="4" t="s">
        <v>172</v>
      </c>
      <c r="E13" s="4" t="s">
        <v>173</v>
      </c>
      <c r="F13" s="4" t="s">
        <v>173</v>
      </c>
      <c r="G13" s="4" t="s">
        <v>173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28"/>
    <col collapsed="false" customWidth="true" hidden="false" outlineLevel="0" max="7" min="7" style="1" width="24"/>
  </cols>
  <sheetData>
    <row r="1" customFormat="false" ht="27.75" hidden="false" customHeight="true" outlineLevel="0" collapsed="false">
      <c r="A1" s="8" t="s">
        <v>174</v>
      </c>
      <c r="B1" s="8"/>
      <c r="C1" s="8"/>
      <c r="D1" s="8"/>
      <c r="E1" s="8"/>
      <c r="F1" s="8"/>
      <c r="G1" s="8"/>
    </row>
    <row r="3" customFormat="false" ht="36" hidden="false" customHeight="true" outlineLevel="0" collapsed="false">
      <c r="A3" s="9" t="s">
        <v>101</v>
      </c>
      <c r="B3" s="9" t="s">
        <v>14</v>
      </c>
      <c r="C3" s="9" t="s">
        <v>16</v>
      </c>
      <c r="D3" s="9" t="s">
        <v>18</v>
      </c>
      <c r="E3" s="9" t="s">
        <v>20</v>
      </c>
      <c r="F3" s="9" t="s">
        <v>22</v>
      </c>
      <c r="G3" s="9" t="s">
        <v>24</v>
      </c>
    </row>
    <row r="4" customFormat="false" ht="39.75" hidden="false" customHeight="true" outlineLevel="0" collapsed="false">
      <c r="A4" s="26" t="s">
        <v>175</v>
      </c>
      <c r="B4" s="27" t="s">
        <v>176</v>
      </c>
      <c r="C4" s="28" t="s">
        <v>177</v>
      </c>
      <c r="D4" s="28" t="s">
        <v>178</v>
      </c>
      <c r="E4" s="28" t="s">
        <v>179</v>
      </c>
      <c r="F4" s="28" t="s">
        <v>180</v>
      </c>
      <c r="G4" s="28" t="s">
        <v>181</v>
      </c>
    </row>
    <row r="5" customFormat="false" ht="39.75" hidden="false" customHeight="true" outlineLevel="0" collapsed="false">
      <c r="A5" s="29" t="s">
        <v>182</v>
      </c>
      <c r="B5" s="27" t="s">
        <v>183</v>
      </c>
      <c r="C5" s="4" t="s">
        <v>184</v>
      </c>
      <c r="D5" s="4" t="s">
        <v>185</v>
      </c>
      <c r="E5" s="4" t="s">
        <v>184</v>
      </c>
      <c r="F5" s="4" t="s">
        <v>186</v>
      </c>
      <c r="G5" s="4" t="s">
        <v>187</v>
      </c>
    </row>
    <row r="6" customFormat="false" ht="39.75" hidden="false" customHeight="true" outlineLevel="0" collapsed="false">
      <c r="A6" s="26" t="s">
        <v>188</v>
      </c>
      <c r="B6" s="27" t="s">
        <v>189</v>
      </c>
      <c r="C6" s="28" t="s">
        <v>190</v>
      </c>
      <c r="D6" s="28" t="s">
        <v>191</v>
      </c>
      <c r="E6" s="28" t="s">
        <v>160</v>
      </c>
      <c r="F6" s="28" t="s">
        <v>192</v>
      </c>
      <c r="G6" s="28" t="s">
        <v>193</v>
      </c>
    </row>
    <row r="7" customFormat="false" ht="39.75" hidden="false" customHeight="true" outlineLevel="0" collapsed="false">
      <c r="A7" s="29" t="s">
        <v>194</v>
      </c>
      <c r="B7" s="27" t="s">
        <v>195</v>
      </c>
      <c r="C7" s="4" t="s">
        <v>153</v>
      </c>
      <c r="D7" s="4" t="s">
        <v>153</v>
      </c>
      <c r="E7" s="4" t="s">
        <v>153</v>
      </c>
      <c r="F7" s="4" t="s">
        <v>196</v>
      </c>
      <c r="G7" s="4" t="s">
        <v>153</v>
      </c>
    </row>
    <row r="8" customFormat="false" ht="39.75" hidden="false" customHeight="true" outlineLevel="0" collapsed="false">
      <c r="A8" s="26" t="s">
        <v>197</v>
      </c>
      <c r="B8" s="27" t="s">
        <v>198</v>
      </c>
      <c r="C8" s="28" t="s">
        <v>199</v>
      </c>
      <c r="D8" s="28" t="s">
        <v>200</v>
      </c>
      <c r="E8" s="28" t="s">
        <v>201</v>
      </c>
      <c r="F8" s="28" t="s">
        <v>202</v>
      </c>
      <c r="G8" s="28" t="s">
        <v>203</v>
      </c>
    </row>
    <row r="9" customFormat="false" ht="39.75" hidden="false" customHeight="true" outlineLevel="0" collapsed="false">
      <c r="A9" s="29" t="s">
        <v>204</v>
      </c>
      <c r="B9" s="27" t="s">
        <v>205</v>
      </c>
      <c r="C9" s="4" t="s">
        <v>206</v>
      </c>
      <c r="D9" s="4" t="s">
        <v>207</v>
      </c>
      <c r="E9" s="4" t="s">
        <v>206</v>
      </c>
      <c r="F9" s="4" t="s">
        <v>208</v>
      </c>
      <c r="G9" s="4" t="s">
        <v>206</v>
      </c>
    </row>
    <row r="10" customFormat="false" ht="39.75" hidden="false" customHeight="true" outlineLevel="0" collapsed="false">
      <c r="A10" s="26" t="s">
        <v>209</v>
      </c>
      <c r="B10" s="27" t="s">
        <v>210</v>
      </c>
      <c r="C10" s="28" t="s">
        <v>211</v>
      </c>
      <c r="D10" s="28" t="s">
        <v>212</v>
      </c>
      <c r="E10" s="28" t="s">
        <v>213</v>
      </c>
      <c r="F10" s="28" t="s">
        <v>214</v>
      </c>
      <c r="G10" s="28" t="s">
        <v>215</v>
      </c>
    </row>
    <row r="11" customFormat="false" ht="39.75" hidden="false" customHeight="true" outlineLevel="0" collapsed="false">
      <c r="A11" s="29" t="s">
        <v>216</v>
      </c>
      <c r="B11" s="27" t="s">
        <v>217</v>
      </c>
      <c r="C11" s="4" t="s">
        <v>218</v>
      </c>
      <c r="D11" s="4" t="s">
        <v>218</v>
      </c>
      <c r="E11" s="4" t="s">
        <v>218</v>
      </c>
      <c r="F11" s="4" t="s">
        <v>219</v>
      </c>
      <c r="G11" s="4" t="s">
        <v>218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4" min="3" style="1" width="50"/>
  </cols>
  <sheetData>
    <row r="1" customFormat="false" ht="27.75" hidden="false" customHeight="true" outlineLevel="0" collapsed="false">
      <c r="A1" s="8" t="s">
        <v>220</v>
      </c>
      <c r="B1" s="8"/>
      <c r="C1" s="8"/>
      <c r="D1" s="8"/>
    </row>
    <row r="3" customFormat="false" ht="30" hidden="false" customHeight="true" outlineLevel="0" collapsed="false">
      <c r="A3" s="9" t="s">
        <v>221</v>
      </c>
      <c r="B3" s="9" t="s">
        <v>222</v>
      </c>
      <c r="C3" s="9" t="s">
        <v>223</v>
      </c>
      <c r="D3" s="9" t="s">
        <v>224</v>
      </c>
    </row>
    <row r="4" customFormat="false" ht="49.5" hidden="false" customHeight="true" outlineLevel="0" collapsed="false">
      <c r="A4" s="30" t="s">
        <v>225</v>
      </c>
      <c r="B4" s="29" t="s">
        <v>226</v>
      </c>
      <c r="C4" s="4" t="s">
        <v>227</v>
      </c>
      <c r="D4" s="4" t="s">
        <v>228</v>
      </c>
    </row>
    <row r="5" customFormat="false" ht="49.5" hidden="false" customHeight="true" outlineLevel="0" collapsed="false">
      <c r="A5" s="30" t="s">
        <v>225</v>
      </c>
      <c r="B5" s="29" t="s">
        <v>229</v>
      </c>
      <c r="C5" s="4" t="s">
        <v>230</v>
      </c>
      <c r="D5" s="4" t="s">
        <v>231</v>
      </c>
    </row>
    <row r="6" customFormat="false" ht="49.5" hidden="false" customHeight="true" outlineLevel="0" collapsed="false">
      <c r="A6" s="30" t="s">
        <v>225</v>
      </c>
      <c r="B6" s="29" t="s">
        <v>232</v>
      </c>
      <c r="C6" s="4" t="s">
        <v>233</v>
      </c>
      <c r="D6" s="4" t="s">
        <v>234</v>
      </c>
    </row>
    <row r="7" customFormat="false" ht="49.5" hidden="false" customHeight="true" outlineLevel="0" collapsed="false">
      <c r="A7" s="30" t="s">
        <v>225</v>
      </c>
      <c r="B7" s="29" t="s">
        <v>235</v>
      </c>
      <c r="C7" s="4" t="s">
        <v>236</v>
      </c>
      <c r="D7" s="4" t="s">
        <v>237</v>
      </c>
    </row>
    <row r="8" customFormat="false" ht="49.5" hidden="false" customHeight="true" outlineLevel="0" collapsed="false">
      <c r="A8" s="31" t="s">
        <v>238</v>
      </c>
      <c r="B8" s="29" t="s">
        <v>239</v>
      </c>
      <c r="C8" s="4" t="s">
        <v>240</v>
      </c>
      <c r="D8" s="4" t="s">
        <v>241</v>
      </c>
    </row>
    <row r="9" customFormat="false" ht="49.5" hidden="false" customHeight="true" outlineLevel="0" collapsed="false">
      <c r="A9" s="31" t="s">
        <v>238</v>
      </c>
      <c r="B9" s="29" t="s">
        <v>242</v>
      </c>
      <c r="C9" s="4" t="s">
        <v>243</v>
      </c>
      <c r="D9" s="4" t="s">
        <v>244</v>
      </c>
    </row>
    <row r="10" customFormat="false" ht="49.5" hidden="false" customHeight="true" outlineLevel="0" collapsed="false">
      <c r="A10" s="31" t="s">
        <v>238</v>
      </c>
      <c r="B10" s="29" t="s">
        <v>245</v>
      </c>
      <c r="C10" s="4" t="s">
        <v>246</v>
      </c>
      <c r="D10" s="4" t="s">
        <v>247</v>
      </c>
    </row>
    <row r="11" customFormat="false" ht="49.5" hidden="false" customHeight="true" outlineLevel="0" collapsed="false">
      <c r="A11" s="32" t="s">
        <v>248</v>
      </c>
      <c r="B11" s="29" t="s">
        <v>249</v>
      </c>
      <c r="C11" s="4" t="s">
        <v>250</v>
      </c>
      <c r="D11" s="4" t="s">
        <v>251</v>
      </c>
    </row>
    <row r="12" customFormat="false" ht="49.5" hidden="false" customHeight="true" outlineLevel="0" collapsed="false">
      <c r="A12" s="32" t="s">
        <v>248</v>
      </c>
      <c r="B12" s="29" t="s">
        <v>57</v>
      </c>
      <c r="C12" s="4" t="s">
        <v>252</v>
      </c>
      <c r="D12" s="4" t="s">
        <v>253</v>
      </c>
    </row>
    <row r="13" customFormat="false" ht="49.5" hidden="false" customHeight="true" outlineLevel="0" collapsed="false">
      <c r="A13" s="32" t="s">
        <v>248</v>
      </c>
      <c r="B13" s="29" t="s">
        <v>254</v>
      </c>
      <c r="C13" s="4" t="s">
        <v>255</v>
      </c>
      <c r="D13" s="4" t="s">
        <v>256</v>
      </c>
    </row>
    <row r="14" customFormat="false" ht="49.5" hidden="false" customHeight="true" outlineLevel="0" collapsed="false">
      <c r="A14" s="32" t="s">
        <v>248</v>
      </c>
      <c r="B14" s="29" t="s">
        <v>257</v>
      </c>
      <c r="C14" s="4" t="s">
        <v>258</v>
      </c>
      <c r="D14" s="4" t="s">
        <v>259</v>
      </c>
    </row>
    <row r="15" customFormat="false" ht="49.5" hidden="false" customHeight="true" outlineLevel="0" collapsed="false">
      <c r="A15" s="32" t="s">
        <v>248</v>
      </c>
      <c r="B15" s="29" t="s">
        <v>260</v>
      </c>
      <c r="C15" s="4" t="s">
        <v>261</v>
      </c>
      <c r="D15" s="4" t="s">
        <v>262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7" min="5" style="1" width="20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1" min="11" style="1" width="46"/>
    <col collapsed="false" customWidth="true" hidden="false" outlineLevel="0" max="12" min="12" style="1" width="3"/>
    <col collapsed="false" customWidth="true" hidden="false" outlineLevel="0" max="13" min="13" style="1" width="34"/>
    <col collapsed="false" customWidth="true" hidden="false" outlineLevel="0" max="15" min="14" style="1" width="14"/>
  </cols>
  <sheetData>
    <row r="1" customFormat="false" ht="27.75" hidden="false" customHeight="true" outlineLevel="0" collapsed="false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8" hidden="false" customHeight="true" outlineLevel="0" collapsed="false">
      <c r="A2" s="33" t="s">
        <v>264</v>
      </c>
      <c r="B2" s="33"/>
      <c r="C2" s="33"/>
      <c r="D2" s="33"/>
      <c r="E2" s="33"/>
      <c r="F2" s="33"/>
      <c r="G2" s="33"/>
      <c r="H2" s="33"/>
      <c r="I2" s="33"/>
      <c r="J2" s="33"/>
    </row>
    <row r="4" customFormat="false" ht="39.75" hidden="false" customHeight="true" outlineLevel="0" collapsed="false">
      <c r="A4" s="9" t="s">
        <v>101</v>
      </c>
      <c r="B4" s="9" t="s">
        <v>102</v>
      </c>
      <c r="C4" s="9" t="s">
        <v>14</v>
      </c>
      <c r="D4" s="9" t="s">
        <v>16</v>
      </c>
      <c r="E4" s="9" t="s">
        <v>18</v>
      </c>
      <c r="F4" s="9" t="s">
        <v>20</v>
      </c>
      <c r="G4" s="9" t="s">
        <v>22</v>
      </c>
      <c r="H4" s="9" t="s">
        <v>24</v>
      </c>
      <c r="I4" s="9" t="s">
        <v>265</v>
      </c>
      <c r="J4" s="9" t="s">
        <v>266</v>
      </c>
      <c r="K4" s="9" t="s">
        <v>267</v>
      </c>
      <c r="M4" s="5" t="s">
        <v>268</v>
      </c>
      <c r="N4" s="5"/>
      <c r="O4" s="5"/>
    </row>
    <row r="5" customFormat="false" ht="15" hidden="false" customHeight="true" outlineLevel="0" collapsed="false">
      <c r="A5" s="13" t="s">
        <v>103</v>
      </c>
      <c r="B5" s="19"/>
      <c r="C5" s="19"/>
      <c r="D5" s="19"/>
      <c r="E5" s="19"/>
      <c r="F5" s="19"/>
      <c r="G5" s="19"/>
      <c r="H5" s="19"/>
      <c r="I5" s="19"/>
      <c r="J5" s="19"/>
      <c r="K5" s="19"/>
      <c r="M5" s="3" t="s">
        <v>269</v>
      </c>
      <c r="N5" s="34" t="n">
        <f aca="false">C28</f>
        <v>4.32</v>
      </c>
      <c r="O5" s="34"/>
    </row>
    <row r="6" customFormat="false" ht="23.25" hidden="false" customHeight="true" outlineLevel="0" collapsed="false">
      <c r="A6" s="4" t="s">
        <v>104</v>
      </c>
      <c r="B6" s="20" t="n">
        <v>0.08</v>
      </c>
      <c r="C6" s="10" t="n">
        <v>4</v>
      </c>
      <c r="D6" s="11" t="n">
        <v>3</v>
      </c>
      <c r="E6" s="11" t="n">
        <v>4</v>
      </c>
      <c r="F6" s="11" t="n">
        <v>3</v>
      </c>
      <c r="G6" s="11" t="n">
        <v>5</v>
      </c>
      <c r="H6" s="11" t="n">
        <v>4</v>
      </c>
      <c r="I6" s="30" t="n">
        <v>5</v>
      </c>
      <c r="J6" s="18" t="n">
        <f aca="false">I6-C6</f>
        <v>1</v>
      </c>
      <c r="K6" s="4" t="s">
        <v>270</v>
      </c>
      <c r="M6" s="3" t="s">
        <v>271</v>
      </c>
      <c r="N6" s="34" t="n">
        <f aca="false">I28</f>
        <v>4.74</v>
      </c>
      <c r="O6" s="34"/>
    </row>
    <row r="7" customFormat="false" ht="15" hidden="false" customHeight="true" outlineLevel="0" collapsed="false">
      <c r="A7" s="4" t="s">
        <v>105</v>
      </c>
      <c r="B7" s="20" t="n">
        <v>0.06</v>
      </c>
      <c r="C7" s="10" t="n">
        <v>2</v>
      </c>
      <c r="D7" s="11" t="n">
        <v>2</v>
      </c>
      <c r="E7" s="11" t="n">
        <v>3</v>
      </c>
      <c r="F7" s="11" t="n">
        <v>4</v>
      </c>
      <c r="G7" s="11" t="n">
        <v>5</v>
      </c>
      <c r="H7" s="11" t="n">
        <v>3</v>
      </c>
      <c r="I7" s="30" t="n">
        <v>4</v>
      </c>
      <c r="J7" s="18" t="n">
        <f aca="false">I7-C7</f>
        <v>2</v>
      </c>
      <c r="K7" s="4" t="s">
        <v>272</v>
      </c>
      <c r="M7" s="3" t="s">
        <v>273</v>
      </c>
      <c r="N7" s="35" t="n">
        <f aca="false">I28-C28</f>
        <v>0.42</v>
      </c>
      <c r="O7" s="35"/>
    </row>
    <row r="8" customFormat="false" ht="15" hidden="false" customHeight="true" outlineLevel="0" collapsed="false">
      <c r="A8" s="4" t="s">
        <v>106</v>
      </c>
      <c r="B8" s="20" t="n">
        <v>0.06</v>
      </c>
      <c r="C8" s="10" t="n">
        <v>4</v>
      </c>
      <c r="D8" s="11" t="n">
        <v>5</v>
      </c>
      <c r="E8" s="11" t="n">
        <v>3</v>
      </c>
      <c r="F8" s="11" t="n">
        <v>4</v>
      </c>
      <c r="G8" s="11" t="n">
        <v>4</v>
      </c>
      <c r="H8" s="11" t="n">
        <v>4</v>
      </c>
      <c r="I8" s="30" t="n">
        <v>5</v>
      </c>
      <c r="J8" s="18" t="n">
        <f aca="false">I8-C8</f>
        <v>1</v>
      </c>
      <c r="K8" s="4" t="s">
        <v>274</v>
      </c>
      <c r="M8" s="3" t="s">
        <v>275</v>
      </c>
      <c r="N8" s="34" t="n">
        <f aca="false">MAX(D28:H28)</f>
        <v>3.64</v>
      </c>
      <c r="O8" s="34"/>
    </row>
    <row r="9" customFormat="false" ht="15" hidden="false" customHeight="true" outlineLevel="0" collapsed="false">
      <c r="A9" s="4" t="s">
        <v>107</v>
      </c>
      <c r="B9" s="20" t="n">
        <v>0.05</v>
      </c>
      <c r="C9" s="10" t="n">
        <v>4</v>
      </c>
      <c r="D9" s="11" t="n">
        <v>2</v>
      </c>
      <c r="E9" s="11" t="n">
        <v>3</v>
      </c>
      <c r="F9" s="11" t="n">
        <v>2</v>
      </c>
      <c r="G9" s="11" t="n">
        <v>5</v>
      </c>
      <c r="H9" s="11" t="n">
        <v>4</v>
      </c>
      <c r="I9" s="30" t="n">
        <v>4</v>
      </c>
      <c r="J9" s="18" t="n">
        <f aca="false">I9-C9</f>
        <v>0</v>
      </c>
      <c r="K9" s="4" t="s">
        <v>276</v>
      </c>
      <c r="M9" s="3" t="s">
        <v>277</v>
      </c>
      <c r="N9" s="35" t="n">
        <f aca="false">I28-MAX(D28:H28)</f>
        <v>1.1</v>
      </c>
      <c r="O9" s="35"/>
    </row>
    <row r="10" customFormat="false" ht="15" hidden="false" customHeight="true" outlineLevel="0" collapsed="false">
      <c r="A10" s="4" t="s">
        <v>108</v>
      </c>
      <c r="B10" s="20" t="n">
        <v>0.08</v>
      </c>
      <c r="C10" s="10" t="n">
        <v>5</v>
      </c>
      <c r="D10" s="11" t="n">
        <v>3</v>
      </c>
      <c r="E10" s="11" t="n">
        <v>3</v>
      </c>
      <c r="F10" s="11" t="n">
        <v>3</v>
      </c>
      <c r="G10" s="11" t="n">
        <v>3</v>
      </c>
      <c r="H10" s="11" t="n">
        <v>4</v>
      </c>
      <c r="I10" s="30" t="n">
        <v>5</v>
      </c>
      <c r="J10" s="18" t="n">
        <f aca="false">I10-C10</f>
        <v>0</v>
      </c>
      <c r="K10" s="4" t="s">
        <v>278</v>
      </c>
    </row>
    <row r="11" customFormat="false" ht="15" hidden="false" customHeight="true" outlineLevel="0" collapsed="false">
      <c r="A11" s="4" t="s">
        <v>109</v>
      </c>
      <c r="B11" s="20" t="n">
        <v>0.04</v>
      </c>
      <c r="C11" s="10" t="n">
        <v>4</v>
      </c>
      <c r="D11" s="11" t="n">
        <v>5</v>
      </c>
      <c r="E11" s="11" t="n">
        <v>4</v>
      </c>
      <c r="F11" s="11" t="n">
        <v>4</v>
      </c>
      <c r="G11" s="11" t="n">
        <v>4</v>
      </c>
      <c r="H11" s="11" t="n">
        <v>4</v>
      </c>
      <c r="I11" s="30" t="n">
        <v>4</v>
      </c>
      <c r="J11" s="18" t="n">
        <f aca="false">I11-C11</f>
        <v>0</v>
      </c>
      <c r="K11" s="4" t="s">
        <v>279</v>
      </c>
    </row>
    <row r="12" customFormat="false" ht="15" hidden="false" customHeight="true" outlineLevel="0" collapsed="false">
      <c r="A12" s="13" t="s">
        <v>110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customFormat="false" ht="15" hidden="false" customHeight="true" outlineLevel="0" collapsed="false">
      <c r="A13" s="4" t="s">
        <v>111</v>
      </c>
      <c r="B13" s="20" t="n">
        <v>0.07</v>
      </c>
      <c r="C13" s="10" t="n">
        <v>5</v>
      </c>
      <c r="D13" s="11" t="n">
        <v>3</v>
      </c>
      <c r="E13" s="11" t="n">
        <v>4</v>
      </c>
      <c r="F13" s="11" t="n">
        <v>3</v>
      </c>
      <c r="G13" s="11" t="n">
        <v>4</v>
      </c>
      <c r="H13" s="11" t="n">
        <v>4</v>
      </c>
      <c r="I13" s="30" t="n">
        <v>5</v>
      </c>
      <c r="J13" s="18" t="n">
        <f aca="false">I13-C13</f>
        <v>0</v>
      </c>
      <c r="K13" s="4" t="s">
        <v>280</v>
      </c>
    </row>
    <row r="14" customFormat="false" ht="23.25" hidden="false" customHeight="true" outlineLevel="0" collapsed="false">
      <c r="A14" s="4" t="s">
        <v>112</v>
      </c>
      <c r="B14" s="20" t="n">
        <v>0.07</v>
      </c>
      <c r="C14" s="10" t="n">
        <v>5</v>
      </c>
      <c r="D14" s="11" t="n">
        <v>4</v>
      </c>
      <c r="E14" s="11" t="n">
        <v>4</v>
      </c>
      <c r="F14" s="11" t="n">
        <v>4</v>
      </c>
      <c r="G14" s="11" t="n">
        <v>4</v>
      </c>
      <c r="H14" s="11" t="n">
        <v>4</v>
      </c>
      <c r="I14" s="30" t="n">
        <v>5</v>
      </c>
      <c r="J14" s="18" t="n">
        <f aca="false">I14-C14</f>
        <v>0</v>
      </c>
      <c r="K14" s="4" t="s">
        <v>281</v>
      </c>
    </row>
    <row r="15" customFormat="false" ht="15" hidden="false" customHeight="true" outlineLevel="0" collapsed="false">
      <c r="A15" s="4" t="s">
        <v>113</v>
      </c>
      <c r="B15" s="20" t="n">
        <v>0.06</v>
      </c>
      <c r="C15" s="10" t="n">
        <v>5</v>
      </c>
      <c r="D15" s="11" t="n">
        <v>2</v>
      </c>
      <c r="E15" s="11" t="n">
        <v>2</v>
      </c>
      <c r="F15" s="11" t="n">
        <v>2</v>
      </c>
      <c r="G15" s="11" t="n">
        <v>2</v>
      </c>
      <c r="H15" s="11" t="n">
        <v>3</v>
      </c>
      <c r="I15" s="30" t="n">
        <v>5</v>
      </c>
      <c r="J15" s="18" t="n">
        <f aca="false">I15-C15</f>
        <v>0</v>
      </c>
      <c r="K15" s="4" t="s">
        <v>281</v>
      </c>
    </row>
    <row r="16" customFormat="false" ht="15" hidden="false" customHeight="true" outlineLevel="0" collapsed="false">
      <c r="A16" s="4" t="s">
        <v>114</v>
      </c>
      <c r="B16" s="20" t="n">
        <v>0.05</v>
      </c>
      <c r="C16" s="10" t="n">
        <v>4</v>
      </c>
      <c r="D16" s="11" t="n">
        <v>4</v>
      </c>
      <c r="E16" s="11" t="n">
        <v>5</v>
      </c>
      <c r="F16" s="11" t="n">
        <v>4</v>
      </c>
      <c r="G16" s="11" t="n">
        <v>5</v>
      </c>
      <c r="H16" s="11" t="n">
        <v>4</v>
      </c>
      <c r="I16" s="30" t="n">
        <v>5</v>
      </c>
      <c r="J16" s="18" t="n">
        <f aca="false">I16-C16</f>
        <v>1</v>
      </c>
      <c r="K16" s="4" t="s">
        <v>282</v>
      </c>
    </row>
    <row r="17" customFormat="false" ht="15" hidden="false" customHeight="true" outlineLevel="0" collapsed="false">
      <c r="A17" s="13" t="s">
        <v>115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customFormat="false" ht="15" hidden="false" customHeight="true" outlineLevel="0" collapsed="false">
      <c r="A18" s="4" t="s">
        <v>116</v>
      </c>
      <c r="B18" s="20" t="n">
        <v>0.05</v>
      </c>
      <c r="C18" s="10" t="n">
        <v>5</v>
      </c>
      <c r="D18" s="11" t="n">
        <v>4</v>
      </c>
      <c r="E18" s="11" t="n">
        <v>4</v>
      </c>
      <c r="F18" s="11" t="n">
        <v>4</v>
      </c>
      <c r="G18" s="11" t="n">
        <v>4</v>
      </c>
      <c r="H18" s="11" t="n">
        <v>4</v>
      </c>
      <c r="I18" s="30" t="n">
        <v>5</v>
      </c>
      <c r="J18" s="18" t="n">
        <f aca="false">I18-C18</f>
        <v>0</v>
      </c>
      <c r="K18" s="4" t="s">
        <v>281</v>
      </c>
    </row>
    <row r="19" customFormat="false" ht="15" hidden="false" customHeight="true" outlineLevel="0" collapsed="false">
      <c r="A19" s="4" t="s">
        <v>117</v>
      </c>
      <c r="B19" s="20" t="n">
        <v>0.05</v>
      </c>
      <c r="C19" s="10" t="n">
        <v>5</v>
      </c>
      <c r="D19" s="11" t="n">
        <v>1</v>
      </c>
      <c r="E19" s="11" t="n">
        <v>1</v>
      </c>
      <c r="F19" s="11" t="n">
        <v>1</v>
      </c>
      <c r="G19" s="11" t="n">
        <v>1</v>
      </c>
      <c r="H19" s="11" t="n">
        <v>2</v>
      </c>
      <c r="I19" s="30" t="n">
        <v>5</v>
      </c>
      <c r="J19" s="18" t="n">
        <f aca="false">I19-C19</f>
        <v>0</v>
      </c>
      <c r="K19" s="4" t="s">
        <v>281</v>
      </c>
    </row>
    <row r="20" customFormat="false" ht="15" hidden="false" customHeight="true" outlineLevel="0" collapsed="false">
      <c r="A20" s="4" t="s">
        <v>118</v>
      </c>
      <c r="B20" s="20" t="n">
        <v>0.05</v>
      </c>
      <c r="C20" s="10" t="n">
        <v>5</v>
      </c>
      <c r="D20" s="11" t="n">
        <v>3</v>
      </c>
      <c r="E20" s="11" t="n">
        <v>4</v>
      </c>
      <c r="F20" s="11" t="n">
        <v>3</v>
      </c>
      <c r="G20" s="11" t="n">
        <v>4</v>
      </c>
      <c r="H20" s="11" t="n">
        <v>4</v>
      </c>
      <c r="I20" s="30" t="n">
        <v>5</v>
      </c>
      <c r="J20" s="18" t="n">
        <f aca="false">I20-C20</f>
        <v>0</v>
      </c>
      <c r="K20" s="4" t="s">
        <v>281</v>
      </c>
    </row>
    <row r="21" customFormat="false" ht="15" hidden="false" customHeight="true" outlineLevel="0" collapsed="false">
      <c r="A21" s="4" t="s">
        <v>119</v>
      </c>
      <c r="B21" s="20" t="n">
        <v>0.03</v>
      </c>
      <c r="C21" s="10" t="n">
        <v>2</v>
      </c>
      <c r="D21" s="11" t="n">
        <v>5</v>
      </c>
      <c r="E21" s="11" t="n">
        <v>5</v>
      </c>
      <c r="F21" s="11" t="n">
        <v>5</v>
      </c>
      <c r="G21" s="11" t="n">
        <v>3</v>
      </c>
      <c r="H21" s="11" t="n">
        <v>3</v>
      </c>
      <c r="I21" s="30" t="n">
        <v>3</v>
      </c>
      <c r="J21" s="18" t="n">
        <f aca="false">I21-C21</f>
        <v>1</v>
      </c>
      <c r="K21" s="4" t="s">
        <v>283</v>
      </c>
    </row>
    <row r="22" customFormat="false" ht="15" hidden="false" customHeight="true" outlineLevel="0" collapsed="false">
      <c r="A22" s="13" t="s">
        <v>120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customFormat="false" ht="15" hidden="false" customHeight="true" outlineLevel="0" collapsed="false">
      <c r="A23" s="4" t="s">
        <v>121</v>
      </c>
      <c r="B23" s="20" t="n">
        <v>0.06</v>
      </c>
      <c r="C23" s="10" t="n">
        <v>5</v>
      </c>
      <c r="D23" s="11" t="n">
        <v>3</v>
      </c>
      <c r="E23" s="11" t="n">
        <v>2</v>
      </c>
      <c r="F23" s="11" t="n">
        <v>3</v>
      </c>
      <c r="G23" s="11" t="n">
        <v>2</v>
      </c>
      <c r="H23" s="11" t="n">
        <v>3</v>
      </c>
      <c r="I23" s="30" t="n">
        <v>5</v>
      </c>
      <c r="J23" s="18" t="n">
        <f aca="false">I23-C23</f>
        <v>0</v>
      </c>
      <c r="K23" s="4" t="s">
        <v>281</v>
      </c>
    </row>
    <row r="24" customFormat="false" ht="15" hidden="false" customHeight="true" outlineLevel="0" collapsed="false">
      <c r="A24" s="4" t="s">
        <v>122</v>
      </c>
      <c r="B24" s="20" t="n">
        <v>0.05</v>
      </c>
      <c r="C24" s="10" t="n">
        <v>5</v>
      </c>
      <c r="D24" s="11" t="n">
        <v>2</v>
      </c>
      <c r="E24" s="11" t="n">
        <v>3</v>
      </c>
      <c r="F24" s="11" t="n">
        <v>1</v>
      </c>
      <c r="G24" s="11" t="n">
        <v>4</v>
      </c>
      <c r="H24" s="11" t="n">
        <v>3</v>
      </c>
      <c r="I24" s="30" t="n">
        <v>5</v>
      </c>
      <c r="J24" s="18" t="n">
        <f aca="false">I24-C24</f>
        <v>0</v>
      </c>
      <c r="K24" s="4" t="s">
        <v>281</v>
      </c>
    </row>
    <row r="25" customFormat="false" ht="15" hidden="false" customHeight="true" outlineLevel="0" collapsed="false">
      <c r="A25" s="4" t="s">
        <v>123</v>
      </c>
      <c r="B25" s="20" t="n">
        <v>0.05</v>
      </c>
      <c r="C25" s="10" t="n">
        <v>4</v>
      </c>
      <c r="D25" s="11" t="n">
        <v>4</v>
      </c>
      <c r="E25" s="11" t="n">
        <v>2</v>
      </c>
      <c r="F25" s="11" t="n">
        <v>3</v>
      </c>
      <c r="G25" s="11" t="n">
        <v>2</v>
      </c>
      <c r="H25" s="11" t="n">
        <v>3</v>
      </c>
      <c r="I25" s="30" t="n">
        <v>4</v>
      </c>
      <c r="J25" s="18" t="n">
        <f aca="false">I25-C25</f>
        <v>0</v>
      </c>
      <c r="K25" s="4" t="s">
        <v>281</v>
      </c>
    </row>
    <row r="26" customFormat="false" ht="15" hidden="false" customHeight="true" outlineLevel="0" collapsed="false">
      <c r="A26" s="4" t="s">
        <v>124</v>
      </c>
      <c r="B26" s="20" t="n">
        <v>0.04</v>
      </c>
      <c r="C26" s="10" t="n">
        <v>3</v>
      </c>
      <c r="D26" s="11" t="n">
        <v>5</v>
      </c>
      <c r="E26" s="11" t="n">
        <v>4</v>
      </c>
      <c r="F26" s="11" t="n">
        <v>5</v>
      </c>
      <c r="G26" s="11" t="n">
        <v>4</v>
      </c>
      <c r="H26" s="11" t="n">
        <v>4</v>
      </c>
      <c r="I26" s="30" t="n">
        <v>5</v>
      </c>
      <c r="J26" s="18" t="n">
        <f aca="false">I26-C26</f>
        <v>2</v>
      </c>
      <c r="K26" s="4" t="s">
        <v>284</v>
      </c>
    </row>
    <row r="28" customFormat="false" ht="15" hidden="false" customHeight="true" outlineLevel="0" collapsed="false">
      <c r="A28" s="22" t="s">
        <v>126</v>
      </c>
      <c r="C28" s="24" t="n">
        <f aca="false">SUMPRODUCT(B6:B26,C6:C26)</f>
        <v>4.32</v>
      </c>
      <c r="D28" s="25" t="n">
        <f aca="false">SUMPRODUCT(B6:B26,D6:D26)</f>
        <v>3.24</v>
      </c>
      <c r="E28" s="25" t="n">
        <f aca="false">SUMPRODUCT(B6:B26,E6:E26)</f>
        <v>3.29</v>
      </c>
      <c r="F28" s="25" t="n">
        <f aca="false">SUMPRODUCT(B6:B26,F6:F26)</f>
        <v>3.16</v>
      </c>
      <c r="G28" s="25" t="n">
        <f aca="false">SUMPRODUCT(B6:B26,G6:G26)</f>
        <v>3.64</v>
      </c>
      <c r="H28" s="25" t="n">
        <f aca="false">SUMPRODUCT(B6:B26,H6:H26)</f>
        <v>3.59</v>
      </c>
      <c r="I28" s="34" t="n">
        <f aca="false">SUMPRODUCT(B6:B26,I6:I26)</f>
        <v>4.74</v>
      </c>
      <c r="J28" s="35" t="n">
        <f aca="false">I28-C28</f>
        <v>0.42</v>
      </c>
      <c r="K28" s="36" t="s">
        <v>285</v>
      </c>
    </row>
    <row r="29" customFormat="false" ht="15" hidden="false" customHeight="true" outlineLevel="0" collapsed="false">
      <c r="A29" s="3" t="s">
        <v>286</v>
      </c>
      <c r="C29" s="15" t="n">
        <f aca="false">RANK(C28,$C$28:$H$28,0)</f>
        <v>1</v>
      </c>
      <c r="D29" s="18" t="n">
        <f aca="false">RANK(D28,$C$28:$H$28,0)</f>
        <v>5</v>
      </c>
      <c r="E29" s="18" t="n">
        <f aca="false">RANK(E28,$C$28:$H$28,0)</f>
        <v>4</v>
      </c>
      <c r="F29" s="18" t="n">
        <f aca="false">RANK(F28,$C$28:$H$28,0)</f>
        <v>6</v>
      </c>
      <c r="G29" s="18" t="n">
        <f aca="false">RANK(G28,$C$28:$H$28,0)</f>
        <v>2</v>
      </c>
      <c r="H29" s="18" t="n">
        <f aca="false">RANK(H28,$C$28:$H$28,0)</f>
        <v>3</v>
      </c>
    </row>
    <row r="30" customFormat="false" ht="23.25" hidden="false" customHeight="true" outlineLevel="0" collapsed="false">
      <c r="A30" s="36" t="s">
        <v>287</v>
      </c>
      <c r="C30" s="15" t="n">
        <f aca="false">COUNTIF(D28:H28,"&gt;"&amp;I28)+1</f>
        <v>1</v>
      </c>
      <c r="D30" s="18" t="n">
        <f aca="false">IF(E28&gt;D28,1,0)+IF(F28&gt;D28,1,0)+IF(G28&gt;D28,1,0)+IF(H28&gt;D28,1,0)+IF(I28&gt;D28,1,0)+1</f>
        <v>5</v>
      </c>
      <c r="E30" s="18" t="n">
        <f aca="false">IF(D28&gt;E28,1,0)+IF(F28&gt;E28,1,0)+IF(G28&gt;E28,1,0)+IF(H28&gt;E28,1,0)+IF(I28&gt;E28,1,0)+1</f>
        <v>4</v>
      </c>
      <c r="F30" s="18" t="n">
        <f aca="false">IF(D28&gt;F28,1,0)+IF(E28&gt;F28,1,0)+IF(G28&gt;F28,1,0)+IF(H28&gt;F28,1,0)+IF(I28&gt;F28,1,0)+1</f>
        <v>6</v>
      </c>
      <c r="G30" s="18" t="n">
        <f aca="false">IF(D28&gt;G28,1,0)+IF(E28&gt;G28,1,0)+IF(F28&gt;G28,1,0)+IF(H28&gt;G28,1,0)+IF(I28&gt;G28,1,0)+1</f>
        <v>2</v>
      </c>
      <c r="H30" s="18" t="n">
        <f aca="false">IF(D28&gt;H28,1,0)+IF(E28&gt;H28,1,0)+IF(F28&gt;H28,1,0)+IF(G28&gt;H28,1,0)+IF(I28&gt;H28,1,0)+1</f>
        <v>3</v>
      </c>
    </row>
  </sheetData>
  <mergeCells count="8">
    <mergeCell ref="A1:J1"/>
    <mergeCell ref="A2:J2"/>
    <mergeCell ref="M4:O4"/>
    <mergeCell ref="N5:O5"/>
    <mergeCell ref="N6:O6"/>
    <mergeCell ref="N7:O7"/>
    <mergeCell ref="N8:O8"/>
    <mergeCell ref="N9:O9"/>
  </mergeCells>
  <conditionalFormatting sqref="J6:J26">
    <cfRule type="colorScale" priority="2">
      <colorScale>
        <cfvo type="num" val="-2"/>
        <cfvo type="num" val="0"/>
        <cfvo type="num" val="3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3"/>
    <col collapsed="false" customWidth="true" hidden="false" outlineLevel="0" max="10" min="10" style="0" width="32"/>
    <col collapsed="false" customWidth="true" hidden="false" outlineLevel="0" max="12" min="11" style="0" width="15"/>
  </cols>
  <sheetData>
    <row r="1" customFormat="false" ht="27.75" hidden="false" customHeight="true" outlineLevel="0" collapsed="false">
      <c r="A1" s="8" t="s">
        <v>288</v>
      </c>
      <c r="B1" s="8"/>
      <c r="C1" s="8"/>
      <c r="D1" s="8"/>
      <c r="E1" s="8"/>
      <c r="F1" s="8"/>
      <c r="G1" s="8"/>
      <c r="H1" s="8"/>
    </row>
    <row r="2" customFormat="false" ht="18" hidden="false" customHeight="true" outlineLevel="0" collapsed="false">
      <c r="A2" s="33" t="s">
        <v>289</v>
      </c>
      <c r="B2" s="33"/>
      <c r="C2" s="33"/>
      <c r="D2" s="33"/>
      <c r="E2" s="33"/>
      <c r="F2" s="33"/>
      <c r="G2" s="33"/>
      <c r="H2" s="33"/>
    </row>
    <row r="4" customFormat="false" ht="36" hidden="false" customHeight="true" outlineLevel="0" collapsed="false">
      <c r="A4" s="9" t="s">
        <v>290</v>
      </c>
      <c r="B4" s="9" t="s">
        <v>291</v>
      </c>
      <c r="C4" s="9" t="s">
        <v>292</v>
      </c>
      <c r="D4" s="9" t="s">
        <v>293</v>
      </c>
      <c r="E4" s="9" t="s">
        <v>294</v>
      </c>
      <c r="F4" s="9" t="s">
        <v>295</v>
      </c>
      <c r="G4" s="9" t="s">
        <v>221</v>
      </c>
      <c r="H4" s="9" t="s">
        <v>296</v>
      </c>
      <c r="J4" s="5" t="s">
        <v>297</v>
      </c>
      <c r="K4" s="5"/>
      <c r="L4" s="5"/>
    </row>
    <row r="5" customFormat="false" ht="33.75" hidden="false" customHeight="true" outlineLevel="0" collapsed="false">
      <c r="A5" s="37" t="s">
        <v>298</v>
      </c>
      <c r="B5" s="38" t="s">
        <v>299</v>
      </c>
      <c r="C5" s="39" t="s">
        <v>300</v>
      </c>
      <c r="D5" s="38" t="s">
        <v>301</v>
      </c>
      <c r="E5" s="38" t="n">
        <v>5</v>
      </c>
      <c r="F5" s="38" t="n">
        <v>4</v>
      </c>
      <c r="G5" s="40" t="s">
        <v>302</v>
      </c>
      <c r="H5" s="39" t="s">
        <v>303</v>
      </c>
      <c r="J5" s="41" t="s">
        <v>304</v>
      </c>
      <c r="K5" s="40" t="s">
        <v>305</v>
      </c>
      <c r="L5" s="40"/>
    </row>
    <row r="6" customFormat="false" ht="33.75" hidden="false" customHeight="true" outlineLevel="0" collapsed="false">
      <c r="A6" s="42" t="s">
        <v>306</v>
      </c>
      <c r="B6" s="43" t="s">
        <v>248</v>
      </c>
      <c r="C6" s="44" t="s">
        <v>307</v>
      </c>
      <c r="D6" s="43" t="s">
        <v>308</v>
      </c>
      <c r="E6" s="43" t="n">
        <v>9</v>
      </c>
      <c r="F6" s="43" t="n">
        <v>10</v>
      </c>
      <c r="G6" s="40" t="s">
        <v>302</v>
      </c>
      <c r="H6" s="44" t="s">
        <v>309</v>
      </c>
      <c r="J6" s="41" t="s">
        <v>310</v>
      </c>
      <c r="K6" s="40" t="n">
        <f aca="false">SUM(E5:E15)</f>
        <v>69</v>
      </c>
      <c r="L6" s="40"/>
    </row>
    <row r="7" customFormat="false" ht="33.75" hidden="false" customHeight="true" outlineLevel="0" collapsed="false">
      <c r="A7" s="37" t="s">
        <v>311</v>
      </c>
      <c r="B7" s="38" t="s">
        <v>248</v>
      </c>
      <c r="C7" s="39" t="s">
        <v>312</v>
      </c>
      <c r="D7" s="38" t="s">
        <v>313</v>
      </c>
      <c r="E7" s="38" t="n">
        <v>7</v>
      </c>
      <c r="F7" s="38" t="n">
        <v>5</v>
      </c>
      <c r="G7" s="40" t="s">
        <v>302</v>
      </c>
      <c r="H7" s="39" t="s">
        <v>314</v>
      </c>
      <c r="J7" s="41" t="s">
        <v>315</v>
      </c>
      <c r="K7" s="40" t="n">
        <f aca="false">SUM(F5:F15)</f>
        <v>58</v>
      </c>
      <c r="L7" s="40"/>
    </row>
    <row r="8" customFormat="false" ht="33.75" hidden="false" customHeight="true" outlineLevel="0" collapsed="false">
      <c r="A8" s="42" t="s">
        <v>316</v>
      </c>
      <c r="B8" s="43" t="s">
        <v>317</v>
      </c>
      <c r="C8" s="44" t="s">
        <v>318</v>
      </c>
      <c r="D8" s="43" t="s">
        <v>313</v>
      </c>
      <c r="E8" s="43" t="n">
        <v>6</v>
      </c>
      <c r="F8" s="43" t="n">
        <v>3</v>
      </c>
      <c r="G8" s="40" t="s">
        <v>302</v>
      </c>
      <c r="H8" s="44" t="s">
        <v>319</v>
      </c>
      <c r="J8" s="41" t="s">
        <v>320</v>
      </c>
      <c r="K8" s="45" t="n">
        <f aca="false">Scorecard!C29</f>
        <v>4.32</v>
      </c>
      <c r="L8" s="45"/>
    </row>
    <row r="9" customFormat="false" ht="33.75" hidden="false" customHeight="true" outlineLevel="0" collapsed="false">
      <c r="A9" s="37" t="s">
        <v>321</v>
      </c>
      <c r="B9" s="38" t="s">
        <v>248</v>
      </c>
      <c r="C9" s="39" t="s">
        <v>322</v>
      </c>
      <c r="D9" s="38" t="s">
        <v>323</v>
      </c>
      <c r="E9" s="38" t="n">
        <v>7</v>
      </c>
      <c r="F9" s="38" t="n">
        <v>5</v>
      </c>
      <c r="G9" s="40" t="s">
        <v>302</v>
      </c>
      <c r="H9" s="39" t="s">
        <v>324</v>
      </c>
      <c r="J9" s="41" t="s">
        <v>325</v>
      </c>
      <c r="K9" s="45" t="n">
        <f aca="false">'Post-Remediation Projection'!I28</f>
        <v>4.74</v>
      </c>
      <c r="L9" s="45"/>
    </row>
    <row r="10" customFormat="false" ht="33.75" hidden="false" customHeight="true" outlineLevel="0" collapsed="false">
      <c r="A10" s="42" t="s">
        <v>326</v>
      </c>
      <c r="B10" s="43" t="s">
        <v>327</v>
      </c>
      <c r="C10" s="44" t="s">
        <v>328</v>
      </c>
      <c r="D10" s="43" t="s">
        <v>313</v>
      </c>
      <c r="E10" s="43" t="n">
        <v>9</v>
      </c>
      <c r="F10" s="43" t="n">
        <v>8</v>
      </c>
      <c r="G10" s="40" t="s">
        <v>302</v>
      </c>
      <c r="H10" s="44" t="s">
        <v>329</v>
      </c>
      <c r="J10" s="41" t="s">
        <v>330</v>
      </c>
      <c r="K10" s="46" t="n">
        <f aca="false">'Post-Remediation Projection'!J28</f>
        <v>0.42</v>
      </c>
      <c r="L10" s="46"/>
    </row>
    <row r="11" customFormat="false" ht="33.75" hidden="false" customHeight="true" outlineLevel="0" collapsed="false">
      <c r="A11" s="37" t="s">
        <v>331</v>
      </c>
      <c r="B11" s="38" t="s">
        <v>327</v>
      </c>
      <c r="C11" s="39" t="s">
        <v>332</v>
      </c>
      <c r="D11" s="38" t="s">
        <v>313</v>
      </c>
      <c r="E11" s="38" t="n">
        <v>5</v>
      </c>
      <c r="F11" s="38" t="n">
        <v>3</v>
      </c>
      <c r="G11" s="40" t="s">
        <v>302</v>
      </c>
      <c r="H11" s="39" t="s">
        <v>333</v>
      </c>
      <c r="J11" s="41" t="s">
        <v>334</v>
      </c>
      <c r="K11" s="40" t="s">
        <v>335</v>
      </c>
      <c r="L11" s="40"/>
    </row>
    <row r="12" customFormat="false" ht="33.75" hidden="false" customHeight="true" outlineLevel="0" collapsed="false">
      <c r="A12" s="42" t="s">
        <v>336</v>
      </c>
      <c r="B12" s="43" t="s">
        <v>327</v>
      </c>
      <c r="C12" s="44" t="s">
        <v>337</v>
      </c>
      <c r="D12" s="43" t="s">
        <v>323</v>
      </c>
      <c r="E12" s="43" t="n">
        <v>8</v>
      </c>
      <c r="F12" s="43" t="n">
        <v>12</v>
      </c>
      <c r="G12" s="40" t="s">
        <v>302</v>
      </c>
      <c r="H12" s="44" t="s">
        <v>338</v>
      </c>
      <c r="J12" s="41" t="s">
        <v>339</v>
      </c>
      <c r="K12" s="40" t="s">
        <v>340</v>
      </c>
      <c r="L12" s="40"/>
    </row>
    <row r="13" customFormat="false" ht="33.75" hidden="false" customHeight="true" outlineLevel="0" collapsed="false">
      <c r="A13" s="37" t="s">
        <v>341</v>
      </c>
      <c r="B13" s="38" t="s">
        <v>342</v>
      </c>
      <c r="C13" s="39" t="s">
        <v>343</v>
      </c>
      <c r="D13" s="38" t="s">
        <v>344</v>
      </c>
      <c r="E13" s="38" t="n">
        <v>6</v>
      </c>
      <c r="F13" s="38" t="n">
        <v>2</v>
      </c>
      <c r="G13" s="40" t="s">
        <v>302</v>
      </c>
      <c r="H13" s="39" t="s">
        <v>345</v>
      </c>
    </row>
    <row r="14" customFormat="false" ht="33.75" hidden="false" customHeight="true" outlineLevel="0" collapsed="false">
      <c r="A14" s="42" t="s">
        <v>346</v>
      </c>
      <c r="B14" s="43" t="s">
        <v>342</v>
      </c>
      <c r="C14" s="44" t="s">
        <v>347</v>
      </c>
      <c r="D14" s="43" t="s">
        <v>323</v>
      </c>
      <c r="E14" s="43" t="n">
        <v>6</v>
      </c>
      <c r="F14" s="43" t="n">
        <v>6</v>
      </c>
      <c r="G14" s="40" t="s">
        <v>302</v>
      </c>
      <c r="H14" s="44" t="s">
        <v>348</v>
      </c>
    </row>
    <row r="15" customFormat="false" ht="33.75" hidden="false" customHeight="true" outlineLevel="0" collapsed="false">
      <c r="A15" s="37" t="s">
        <v>349</v>
      </c>
      <c r="B15" s="38" t="s">
        <v>350</v>
      </c>
      <c r="C15" s="39" t="s">
        <v>351</v>
      </c>
      <c r="D15" s="38" t="s">
        <v>349</v>
      </c>
      <c r="E15" s="38" t="n">
        <v>1</v>
      </c>
      <c r="F15" s="38" t="n">
        <v>0</v>
      </c>
      <c r="G15" s="40" t="s">
        <v>302</v>
      </c>
      <c r="H15" s="39" t="s">
        <v>349</v>
      </c>
    </row>
    <row r="17" customFormat="false" ht="15" hidden="false" customHeight="false" outlineLevel="0" collapsed="false">
      <c r="A17" s="9" t="s">
        <v>352</v>
      </c>
      <c r="B17" s="47"/>
      <c r="C17" s="47"/>
      <c r="D17" s="47"/>
      <c r="E17" s="9" t="n">
        <f aca="false">SUM(E5:E15)</f>
        <v>69</v>
      </c>
      <c r="F17" s="9" t="n">
        <f aca="false">SUM(F5:F15)</f>
        <v>58</v>
      </c>
      <c r="G17" s="47"/>
      <c r="H17" s="47"/>
    </row>
  </sheetData>
  <mergeCells count="11">
    <mergeCell ref="A1:H1"/>
    <mergeCell ref="A2:H2"/>
    <mergeCell ref="J4:L4"/>
    <mergeCell ref="K5:L5"/>
    <mergeCell ref="K6:L6"/>
    <mergeCell ref="K7:L7"/>
    <mergeCell ref="K8:L8"/>
    <mergeCell ref="K9:L9"/>
    <mergeCell ref="K10:L10"/>
    <mergeCell ref="K11:L11"/>
    <mergeCell ref="K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2026-04-17T04:53:32Z</dcterms:created>
  <dc:creator>openpyxl</dc:creator>
  <dc:description/>
  <dc:language>en-US</dc:language>
  <cp:lastModifiedBy/>
  <dcterms:modified xsi:type="dcterms:W3CDTF">2026-04-17T05:22:49Z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